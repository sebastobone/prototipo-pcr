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B70C281F-2381-4A2E-819D-8EA4A4B93CAB}" xr6:coauthVersionLast="47" xr6:coauthVersionMax="47" xr10:uidLastSave="{00000000-0000-0000-0000-000000000000}"/>
  <bookViews>
    <workbookView xWindow="-80" yWindow="-80" windowWidth="19360" windowHeight="11440" tabRatio="959" firstSheet="1" activeTab="7" xr2:uid="{00000000-000D-0000-FFFF-FFFF00000000}"/>
  </bookViews>
  <sheets>
    <sheet name="param_contabilidad" sheetId="6" r:id="rId1"/>
    <sheet name="excepciones_50_50" sheetId="4" r:id="rId2"/>
    <sheet name="gastos" sheetId="1" r:id="rId3"/>
    <sheet name="tasa_cambio" sheetId="3" r:id="rId4"/>
    <sheet name="porc_descuento" sheetId="5" r:id="rId5"/>
    <sheet name="produccion_directo" sheetId="9" r:id="rId6"/>
    <sheet name="componente_inversion_directo" sheetId="28" r:id="rId7"/>
    <sheet name="produccion_rea" sheetId="2" r:id="rId8"/>
    <sheet name="comision_rea" sheetId="18" r:id="rId9"/>
    <sheet name="costo_rea_noprop" sheetId="8" r:id="rId10"/>
    <sheet name="seguimiento_rea_noprop" sheetId="19" r:id="rId11"/>
    <sheet name="onerosidad" sheetId="26" r:id="rId12"/>
    <sheet name="recup_onerosidad" sheetId="27" r:id="rId13"/>
    <sheet name="map_bt" sheetId="20" r:id="rId14"/>
    <sheet name="tipo_seguro" sheetId="21" r:id="rId15"/>
    <sheet name="cuenta_cobrar_directo" sheetId="23" r:id="rId16"/>
    <sheet name="cuenta_corriente_rea" sheetId="25" r:id="rId17"/>
  </sheets>
  <definedNames>
    <definedName name="_xlnm._FilterDatabase" localSheetId="8" hidden="1">comision_rea!$A$1:$V$9</definedName>
    <definedName name="_xlnm._FilterDatabase" localSheetId="6" hidden="1">componente_inversion_directo!$A$1:$W$37</definedName>
    <definedName name="_xlnm._FilterDatabase" localSheetId="2" hidden="1">gastos!$B$1:$K$1</definedName>
    <definedName name="_xlnm._FilterDatabase" localSheetId="13" hidden="1">map_bt!$A$1:$I$261</definedName>
    <definedName name="_xlnm._FilterDatabase" localSheetId="0" hidden="1">param_contabilidad!$A$1:$J$86</definedName>
    <definedName name="_xlnm._FilterDatabase" localSheetId="4" hidden="1">porc_descuento!$A$1:$N$17</definedName>
    <definedName name="_xlnm._FilterDatabase" localSheetId="5" hidden="1">produccion_directo!$A$1:$V$17</definedName>
    <definedName name="_xlnm._FilterDatabase" localSheetId="7" hidden="1">produccion_rea!$A$1:$AB$10</definedName>
    <definedName name="_xlnm._FilterDatabase" localSheetId="3" hidden="1">tasa_cambio!$A$1:$D$1</definedName>
    <definedName name="_xlnm._FilterDatabase" localSheetId="14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28" l="1"/>
  <c r="H16" i="28"/>
  <c r="H15" i="28"/>
  <c r="H12" i="28"/>
  <c r="H14" i="28"/>
  <c r="H11" i="28"/>
  <c r="H13" i="28"/>
  <c r="H10" i="28"/>
  <c r="H9" i="28"/>
  <c r="H8" i="28"/>
  <c r="H7" i="28"/>
  <c r="H6" i="28"/>
  <c r="H5" i="28"/>
  <c r="H4" i="28"/>
  <c r="H3" i="28"/>
  <c r="H2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O11" i="2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G26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7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8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9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0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1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8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9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0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1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2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3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4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67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70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8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F1" authorId="0" shapeId="0" xr:uid="{6646B43B-F165-4295-952A-69884C5981B2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<sst xmlns="http://schemas.openxmlformats.org/spreadsheetml/2006/main" count="8733" uniqueCount="445">
  <si>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</si>
  <si>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</si>
  <si>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</si>
  <si>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</si>
  <si>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</si>
  <si>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</si>
  <si>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</si>
  <si>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</si>
  <si>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</si>
  <si>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</si>
  <si>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</si>
  <si>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</si>
  <si>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</si>
  <si>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</si>
  <si>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</si>
  <si>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</si>
  <si>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</si>
  <si>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</si>
  <si>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</si>
  <si>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</si>
  <si>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</si>
  <si>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</si>
  <si>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</si>
  <si>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</si>
  <si>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</si>
  <si>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</si>
  <si>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</si>
  <si>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</si>
  <si>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</si>
  <si>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</si>
  <si>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</si>
  <si>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</si>
  <si>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</si>
  <si>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</si>
  <si>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</si>
  <si>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</si>
  <si>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</si>
  <si>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</si>
  <si>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</si>
  <si>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</si>
  <si>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</si>
  <si>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</si>
  <si>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</si>
  <si>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</si>
  <si>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</si>
  <si>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</si>
  <si>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</si>
  <si>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</si>
  <si>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</si>
  <si>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</si>
  <si>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</si>
  <si>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</si>
  <si>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</si>
  <si>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</si>
  <si>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</si>
  <si>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</si>
  <si>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</si>
  <si>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</si>
  <si>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</si>
  <si>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</si>
  <si>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</si>
  <si>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</si>
  <si>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</si>
  <si>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</si>
  <si>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</si>
  <si>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</si>
  <si>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</si>
  <si>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</si>
  <si>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</si>
  <si>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</si>
  <si>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</si>
  <si>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</si>
  <si>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</si>
  <si>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</si>
  <si>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</si>
  <si>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</si>
  <si>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</si>
  <si>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</si>
  <si>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</si>
  <si>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</si>
  <si>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</si>
  <si>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</si>
  <si>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</si>
  <si>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</si>
  <si>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</si>
  <si>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</si>
  <si>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</si>
  <si>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</si>
  <si>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</si>
  <si>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</si>
  <si>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</si>
  <si>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</si>
  <si>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</si>
  <si>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</si>
  <si>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</si>
  <si>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</si>
  <si>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</si>
  <si>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</si>
  <si>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</si>
  <si>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</si>
  <si>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</si>
  <si>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</si>
  <si>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</si>
  <si>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</si>
  <si>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</si>
  <si>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</si>
  <si>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</si>
  <si>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</si>
  <si>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</si>
  <si>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</si>
  <si>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</si>
  <si>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</si>
  <si>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</si>
  <si>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</si>
  <si>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</si>
  <si>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</si>
  <si>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</si>
  <si>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</si>
  <si>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</si>
  <si>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</si>
  <si>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</si>
  <si>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</si>
  <si>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</si>
  <si>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</si>
  <si>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</si>
  <si>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</si>
  <si>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</si>
  <si>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</si>
  <si>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</si>
  <si>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</si>
  <si>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</si>
  <si>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</si>
  <si>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</si>
  <si>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</si>
  <si>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</si>
  <si>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</si>
  <si>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</si>
  <si>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</si>
  <si>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</si>
  <si>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</si>
  <si>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</si>
  <si>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</si>
  <si>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</si>
  <si>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</si>
  <si>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</si>
  <si>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</si>
  <si>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</si>
  <si>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</si>
  <si>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</si>
  <si>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</si>
  <si>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</si>
  <si>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</si>
  <si>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</si>
  <si>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</si>
  <si>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</si>
  <si>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</si>
  <si>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</si>
  <si>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</si>
  <si>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</si>
  <si>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</si>
  <si>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</si>
  <si>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</si>
  <si>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</si>
  <si>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</si>
  <si>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</si>
  <si>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</si>
  <si>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</si>
  <si>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</si>
  <si>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</si>
  <si>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</si>
  <si>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</si>
  <si>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</si>
  <si>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</si>
  <si>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</si>
  <si>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</si>
  <si>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</si>
  <si>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</si>
  <si>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</si>
  <si>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</si>
  <si>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</si>
  <si>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</si>
  <si>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</si>
  <si>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</si>
  <si>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</si>
  <si>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</si>
  <si>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</si>
  <si>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</si>
  <si>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</si>
  <si>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</si>
  <si>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</si>
  <si>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</si>
  <si>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</si>
  <si>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</si>
  <si>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</si>
  <si>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</si>
  <si>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</si>
  <si>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</si>
  <si>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</si>
  <si>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</si>
  <si>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</si>
  <si>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</si>
  <si>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</si>
  <si>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</si>
  <si>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</si>
  <si>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</si>
  <si>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</si>
  <si>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</si>
  <si>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</si>
  <si>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</si>
  <si>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</si>
  <si>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</si>
  <si>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</si>
  <si>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</si>
  <si>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</si>
  <si>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</si>
  <si>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</si>
  <si>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</si>
  <si>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</si>
  <si>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</si>
  <si>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</si>
  <si>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</si>
  <si>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</si>
  <si>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</si>
  <si>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</si>
  <si>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</si>
  <si>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</si>
  <si>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</si>
  <si>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</si>
  <si>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</si>
  <si>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</si>
  <si>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</si>
  <si>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</si>
  <si>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</si>
  <si>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</si>
  <si>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</si>
  <si>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</si>
  <si>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</si>
  <si>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</si>
  <si>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</si>
  <si>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</si>
  <si>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</si>
  <si>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</si>
  <si>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</si>
  <si>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</si>
  <si>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</si>
  <si>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</si>
  <si>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</si>
  <si>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</si>
  <si>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</si>
  <si>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</si>
  <si>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</si>
  <si>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</si>
  <si>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</si>
  <si>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</si>
  <si>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</si>
  <si>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</si>
  <si>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</si>
  <si>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</si>
  <si>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</si>
  <si>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</si>
  <si>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</si>
  <si>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</si>
  <si>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</si>
  <si>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</si>
  <si>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</si>
  <si>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</si>
  <si>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</si>
  <si>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</si>
  <si>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</si>
  <si>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</si>
  <si>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</si>
  <si>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</si>
  <si>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</si>
  <si>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</si>
  <si>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</si>
  <si>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</si>
  <si>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</si>
  <si>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</si>
  <si>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</si>
  <si>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</si>
  <si>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</si>
  <si>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</si>
  <si>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</si>
  <si>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</si>
  <si>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</si>
  <si>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</si>
  <si>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</si>
  <si>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</si>
  <si>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</si>
  <si>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</si>
  <si>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</si>
  <si>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</si>
  <si>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</si>
  <si>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</si>
  <si>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</si>
  <si>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</si>
  <si>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</si>
  <si>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</si>
  <si>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</si>
  <si>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</si>
  <si>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</si>
  <si>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</si>
  <si>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</si>
  <si>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</si>
  <si>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</si>
  <si>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</si>
  <si>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</si>
  <si>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</si>
  <si>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</si>
  <si>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</si>
  <si>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</si>
  <si>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</si>
  <si>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</si>
  <si>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</si>
  <si>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</si>
  <si>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</si>
  <si>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</si>
  <si>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</si>
  <si>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</si>
  <si>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</si>
  <si>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</si>
  <si>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</si>
  <si>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</si>
  <si>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</si>
  <si>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</si>
  <si>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</si>
  <si>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</si>
  <si>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</si>
  <si>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</si>
  <si>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</si>
  <si>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</si>
  <si>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</si>
  <si>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</si>
  <si>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</si>
  <si>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</si>
  <si>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</si>
  <si>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</si>
  <si>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</si>
  <si>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</si>
  <si>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</si>
  <si>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</si>
  <si>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</si>
  <si>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</si>
  <si>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</si>
  <si>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</si>
  <si>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</si>
  <si>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</si>
  <si>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</si>
  <si>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</si>
  <si>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</si>
  <si>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</si>
  <si>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</si>
  <si>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</si>
  <si>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</si>
  <si>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</si>
  <si>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</si>
  <si>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</si>
  <si>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</si>
  <si>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</si>
  <si>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</si>
  <si>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</si>
  <si>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</si>
  <si>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</si>
  <si>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</si>
  <si>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</si>
  <si>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</si>
  <si>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</si>
  <si>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</si>
  <si>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</si>
  <si>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</si>
  <si>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</si>
  <si>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</si>
  <si>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</si>
  <si>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</si>
  <si>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</si>
  <si>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</si>
  <si>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</si>
  <si>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</si>
  <si>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</si>
  <si>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</si>
  <si>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</si>
  <si>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</si>
  <si>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</si>
  <si>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</si>
  <si>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</si>
  <si>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</si>
  <si>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</si>
  <si>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</si>
  <si>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</si>
  <si>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</si>
  <si>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</si>
  <si>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</si>
  <si>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</si>
  <si>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</si>
  <si>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</si>
  <si>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</si>
  <si>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</si>
  <si>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</si>
  <si>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</si>
  <si>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</si>
  <si>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</si>
  <si>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</si>
  <si>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</si>
  <si>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</si>
  <si>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</si>
  <si>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</si>
  <si>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</si>
  <si>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</si>
  <si>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</si>
  <si>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</si>
  <si>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</si>
  <si>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</si>
  <si>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</si>
  <si>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</si>
  <si>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</si>
  <si>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</si>
  <si>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</si>
  <si>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</si>
  <si>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</si>
  <si>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</si>
  <si>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</si>
  <si>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</si>
  <si>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</si>
  <si>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</si>
  <si>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</si>
  <si>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</si>
  <si>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</si>
  <si>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</si>
  <si>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</si>
  <si>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</si>
  <si>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</si>
  <si>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</si>
  <si>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</si>
  <si>
    <t>componente_inversion_directo</t>
  </si>
  <si>
    <t>componente_inversion</t>
  </si>
  <si>
    <t>SBV</t>
  </si>
  <si>
    <t xml:space="preserve">NDX   </t>
  </si>
  <si>
    <t>fecha_cancelacion_poliza</t>
  </si>
  <si>
    <t>23</t>
  </si>
  <si>
    <t>1</t>
  </si>
  <si>
    <t>fecha_inicio_vigencia_poliza</t>
  </si>
  <si>
    <t>produccion emitida de la cobertura de con componente de inversion</t>
  </si>
  <si>
    <t>BAN110581505</t>
  </si>
  <si>
    <t>30</t>
  </si>
  <si>
    <t>BAN108762414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</si>
</sst>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&quot;$&quot;\ * #,##0_-;\-&quot;$&quot;\ * #,##0_-;_-&quot;$&quot;\ * &quot;-&quot;_-;_-@_-"/>
    <numFmt numFmtId="165" formatCode="yyyy\-mm\-dd;@"/>
    <numFmt numFmtId="166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5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164" fontId="3" fillId="0" borderId="0" xfId="3" applyFont="1"/>
    <xf numFmtId="164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164" fontId="11" fillId="0" borderId="0" xfId="3" applyFont="1"/>
    <xf numFmtId="14" fontId="5" fillId="0" borderId="0" xfId="0" applyNumberFormat="1" applyFont="1"/>
    <xf numFmtId="164" fontId="5" fillId="0" borderId="0" xfId="3" applyFont="1"/>
    <xf numFmtId="164" fontId="5" fillId="0" borderId="0" xfId="0" applyNumberFormat="1" applyFont="1"/>
    <xf numFmtId="9" fontId="5" fillId="0" borderId="0" xfId="1" applyFont="1"/>
    <xf numFmtId="164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166" fontId="0" fillId="0" borderId="0" xfId="5" applyNumberFormat="1" applyFont="1"/>
    <xf numFmtId="166" fontId="5" fillId="0" borderId="0" xfId="5" applyNumberFormat="1" applyFont="1"/>
    <xf numFmtId="0" fontId="18" fillId="0" borderId="0" xfId="0" applyFont="1"/>
    <xf numFmtId="165" fontId="18" fillId="0" borderId="0" xfId="0" applyNumberFormat="1" applyFont="1"/>
    <xf numFmtId="165" fontId="19" fillId="0" borderId="0" xfId="0" applyNumberFormat="1" applyFont="1"/>
    <xf numFmtId="0" fontId="0" fillId="0" borderId="0" xfId="0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9"/>
  <sheetViews>
    <sheetView topLeftCell="B6" zoomScale="101" workbookViewId="0">
      <selection activeCell="G23" sqref="G23:G25"/>
    </sheetView>
  </sheetViews>
  <sheetFormatPr baseColWidth="10" defaultColWidth="11.453125" defaultRowHeight="14.5" x14ac:dyDescent="0.35"/>
  <cols>
    <col min="1" max="1" width="33.453125" bestFit="1" customWidth="1"/>
    <col min="2" max="2" width="27.36328125" bestFit="1" customWidth="1"/>
    <col min="3" max="3" width="22.08984375" bestFit="1" customWidth="1"/>
    <col min="4" max="4" width="24.36328125" bestFit="1" customWidth="1"/>
    <col min="5" max="5" width="14.26953125" bestFit="1" customWidth="1"/>
    <col min="6" max="6" width="18.26953125" bestFit="1" customWidth="1"/>
    <col min="7" max="7" width="14.1796875" bestFit="1" customWidth="1"/>
    <col min="8" max="8" width="19.1796875" bestFit="1" customWidth="1"/>
    <col min="9" max="9" width="16.26953125" bestFit="1" customWidth="1"/>
    <col min="10" max="10" width="117.453125" style="53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 x14ac:dyDescent="0.35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 x14ac:dyDescent="0.35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30</v>
      </c>
      <c r="G3" t="s">
        <v>31</v>
      </c>
      <c r="H3">
        <v>-1</v>
      </c>
      <c r="I3">
        <v>1</v>
      </c>
      <c r="J3" s="53" t="s">
        <v>16</v>
      </c>
    </row>
    <row r="4" spans="1:11" x14ac:dyDescent="0.35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32</v>
      </c>
      <c r="G4" t="s">
        <v>31</v>
      </c>
      <c r="H4">
        <v>-1</v>
      </c>
      <c r="I4">
        <v>1</v>
      </c>
      <c r="J4" s="53" t="s">
        <v>16</v>
      </c>
      <c r="K4" s="53"/>
    </row>
    <row r="5" spans="1:11" x14ac:dyDescent="0.35">
      <c r="A5" t="s">
        <v>54</v>
      </c>
      <c r="B5" t="s">
        <v>11</v>
      </c>
      <c r="C5" t="s">
        <v>12</v>
      </c>
      <c r="D5" t="s">
        <v>46</v>
      </c>
      <c r="E5" t="s">
        <v>47</v>
      </c>
      <c r="F5" t="s">
        <v>14</v>
      </c>
      <c r="G5" t="s">
        <v>15</v>
      </c>
      <c r="H5">
        <v>1</v>
      </c>
      <c r="I5">
        <v>1</v>
      </c>
      <c r="J5" s="53" t="s">
        <v>55</v>
      </c>
    </row>
    <row r="6" spans="1:11" x14ac:dyDescent="0.35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 x14ac:dyDescent="0.35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 x14ac:dyDescent="0.35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14</v>
      </c>
      <c r="G8" t="s">
        <v>15</v>
      </c>
      <c r="H8">
        <v>-1</v>
      </c>
      <c r="I8">
        <v>1</v>
      </c>
      <c r="J8" s="53" t="s">
        <v>55</v>
      </c>
    </row>
    <row r="9" spans="1:11" x14ac:dyDescent="0.35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30</v>
      </c>
      <c r="G9" t="s">
        <v>31</v>
      </c>
      <c r="H9">
        <v>-1</v>
      </c>
      <c r="I9">
        <v>1</v>
      </c>
      <c r="J9" s="53" t="s">
        <v>55</v>
      </c>
    </row>
    <row r="10" spans="1:11" x14ac:dyDescent="0.35">
      <c r="A10" t="s">
        <v>54</v>
      </c>
      <c r="B10" t="s">
        <v>11</v>
      </c>
      <c r="C10" t="s">
        <v>12</v>
      </c>
      <c r="D10" t="s">
        <v>46</v>
      </c>
      <c r="E10" t="s">
        <v>71</v>
      </c>
      <c r="F10" t="s">
        <v>32</v>
      </c>
      <c r="G10" t="s">
        <v>31</v>
      </c>
      <c r="H10">
        <v>-1</v>
      </c>
      <c r="I10">
        <v>1</v>
      </c>
      <c r="J10" s="53" t="s">
        <v>55</v>
      </c>
    </row>
    <row r="11" spans="1:11" x14ac:dyDescent="0.35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14</v>
      </c>
      <c r="G11" t="s">
        <v>15</v>
      </c>
      <c r="H11">
        <v>1</v>
      </c>
      <c r="I11">
        <v>1</v>
      </c>
      <c r="J11" s="53" t="s">
        <v>55</v>
      </c>
    </row>
    <row r="12" spans="1:11" x14ac:dyDescent="0.35">
      <c r="A12" t="s">
        <v>54</v>
      </c>
      <c r="B12" t="s">
        <v>11</v>
      </c>
      <c r="C12" t="s">
        <v>12</v>
      </c>
      <c r="D12" t="s">
        <v>46</v>
      </c>
      <c r="E12" t="s">
        <v>72</v>
      </c>
      <c r="F12" t="s">
        <v>30</v>
      </c>
      <c r="G12" t="s">
        <v>31</v>
      </c>
      <c r="H12">
        <v>1</v>
      </c>
      <c r="I12">
        <v>1</v>
      </c>
      <c r="J12" s="53" t="s">
        <v>55</v>
      </c>
    </row>
    <row r="13" spans="1:11" x14ac:dyDescent="0.35">
      <c r="A13" t="s">
        <v>54</v>
      </c>
      <c r="B13" t="s">
        <v>11</v>
      </c>
      <c r="C13" t="s">
        <v>12</v>
      </c>
      <c r="D13" t="s">
        <v>46</v>
      </c>
      <c r="E13" t="s">
        <v>72</v>
      </c>
      <c r="F13" t="s">
        <v>32</v>
      </c>
      <c r="G13" t="s">
        <v>31</v>
      </c>
      <c r="H13">
        <v>1</v>
      </c>
      <c r="I13">
        <v>1</v>
      </c>
      <c r="J13" s="53" t="s">
        <v>55</v>
      </c>
    </row>
    <row r="14" spans="1:11" x14ac:dyDescent="0.35">
      <c r="A14" t="s">
        <v>67</v>
      </c>
      <c r="B14" t="s">
        <v>68</v>
      </c>
      <c r="C14" t="s">
        <v>12</v>
      </c>
      <c r="D14" t="s">
        <v>46</v>
      </c>
      <c r="E14" t="s">
        <v>47</v>
      </c>
      <c r="F14" t="s">
        <v>14</v>
      </c>
      <c r="G14" t="s">
        <v>15</v>
      </c>
      <c r="H14">
        <v>-1</v>
      </c>
      <c r="I14">
        <v>1</v>
      </c>
      <c r="J14" s="53" t="s">
        <v>69</v>
      </c>
    </row>
    <row r="15" spans="1:11" x14ac:dyDescent="0.35">
      <c r="A15" t="s">
        <v>67</v>
      </c>
      <c r="B15" t="s">
        <v>68</v>
      </c>
      <c r="C15" t="s">
        <v>12</v>
      </c>
      <c r="D15" t="s">
        <v>46</v>
      </c>
      <c r="E15" t="s">
        <v>47</v>
      </c>
      <c r="F15" t="s">
        <v>30</v>
      </c>
      <c r="G15" t="s">
        <v>31</v>
      </c>
      <c r="H15">
        <v>-1</v>
      </c>
      <c r="I15">
        <v>1</v>
      </c>
      <c r="J15" s="53" t="s">
        <v>69</v>
      </c>
    </row>
    <row r="16" spans="1:11" x14ac:dyDescent="0.35">
      <c r="A16" t="s">
        <v>67</v>
      </c>
      <c r="B16" t="s">
        <v>68</v>
      </c>
      <c r="C16" t="s">
        <v>12</v>
      </c>
      <c r="D16" t="s">
        <v>46</v>
      </c>
      <c r="E16" t="s">
        <v>47</v>
      </c>
      <c r="F16" t="s">
        <v>32</v>
      </c>
      <c r="G16" t="s">
        <v>31</v>
      </c>
      <c r="H16">
        <v>-1</v>
      </c>
      <c r="I16">
        <v>1</v>
      </c>
      <c r="J16" s="53" t="s">
        <v>69</v>
      </c>
    </row>
    <row r="17" spans="1:11" x14ac:dyDescent="0.35">
      <c r="A17" t="s">
        <v>67</v>
      </c>
      <c r="B17" t="s">
        <v>68</v>
      </c>
      <c r="C17" t="s">
        <v>12</v>
      </c>
      <c r="D17" t="s">
        <v>46</v>
      </c>
      <c r="E17" t="s">
        <v>71</v>
      </c>
      <c r="F17" t="s">
        <v>14</v>
      </c>
      <c r="G17" t="s">
        <v>15</v>
      </c>
      <c r="H17">
        <v>1</v>
      </c>
      <c r="I17">
        <v>1</v>
      </c>
      <c r="J17" s="53" t="s">
        <v>69</v>
      </c>
    </row>
    <row r="18" spans="1:11" x14ac:dyDescent="0.35">
      <c r="A18" t="s">
        <v>67</v>
      </c>
      <c r="B18" t="s">
        <v>68</v>
      </c>
      <c r="C18" t="s">
        <v>12</v>
      </c>
      <c r="D18" t="s">
        <v>46</v>
      </c>
      <c r="E18" t="s">
        <v>71</v>
      </c>
      <c r="F18" t="s">
        <v>30</v>
      </c>
      <c r="G18" t="s">
        <v>31</v>
      </c>
      <c r="H18">
        <v>1</v>
      </c>
      <c r="I18">
        <v>1</v>
      </c>
      <c r="J18" s="53" t="s">
        <v>69</v>
      </c>
    </row>
    <row r="19" spans="1:11" x14ac:dyDescent="0.35">
      <c r="A19" t="s">
        <v>67</v>
      </c>
      <c r="B19" t="s">
        <v>68</v>
      </c>
      <c r="C19" t="s">
        <v>12</v>
      </c>
      <c r="D19" t="s">
        <v>46</v>
      </c>
      <c r="E19" t="s">
        <v>71</v>
      </c>
      <c r="F19" t="s">
        <v>32</v>
      </c>
      <c r="G19" t="s">
        <v>31</v>
      </c>
      <c r="H19">
        <v>1</v>
      </c>
      <c r="I19">
        <v>1</v>
      </c>
      <c r="J19" s="53" t="s">
        <v>69</v>
      </c>
    </row>
    <row r="20" spans="1:11" x14ac:dyDescent="0.35">
      <c r="A20" t="s">
        <v>67</v>
      </c>
      <c r="B20" t="s">
        <v>68</v>
      </c>
      <c r="C20" t="s">
        <v>12</v>
      </c>
      <c r="D20" t="s">
        <v>46</v>
      </c>
      <c r="E20" t="s">
        <v>72</v>
      </c>
      <c r="F20" t="s">
        <v>14</v>
      </c>
      <c r="G20" t="s">
        <v>15</v>
      </c>
      <c r="H20">
        <v>-1</v>
      </c>
      <c r="I20">
        <v>1</v>
      </c>
      <c r="J20" s="53" t="s">
        <v>69</v>
      </c>
    </row>
    <row r="21" spans="1:11" x14ac:dyDescent="0.35">
      <c r="A21" t="s">
        <v>67</v>
      </c>
      <c r="B21" t="s">
        <v>68</v>
      </c>
      <c r="C21" t="s">
        <v>12</v>
      </c>
      <c r="D21" t="s">
        <v>46</v>
      </c>
      <c r="E21" t="s">
        <v>72</v>
      </c>
      <c r="F21" t="s">
        <v>30</v>
      </c>
      <c r="G21" t="s">
        <v>31</v>
      </c>
      <c r="H21">
        <v>-1</v>
      </c>
      <c r="I21">
        <v>1</v>
      </c>
      <c r="J21" s="53" t="s">
        <v>69</v>
      </c>
    </row>
    <row r="22" spans="1:11" x14ac:dyDescent="0.35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32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 x14ac:dyDescent="0.35">
      <c r="A23" t="s">
        <v>433</v>
      </c>
      <c r="B23" t="s">
        <v>433</v>
      </c>
      <c r="C23" t="s">
        <v>434</v>
      </c>
      <c r="D23" t="s">
        <v>13</v>
      </c>
      <c r="E23" t="s">
        <v>13</v>
      </c>
      <c r="F23" t="s">
        <v>14</v>
      </c>
      <c r="G23" s="64"/>
      <c r="H23">
        <v>-1</v>
      </c>
      <c r="I23">
        <v>1</v>
      </c>
      <c r="J23" s="53" t="s">
        <v>441</v>
      </c>
    </row>
    <row r="24" spans="1:11" x14ac:dyDescent="0.35">
      <c r="A24" t="s">
        <v>433</v>
      </c>
      <c r="B24" t="s">
        <v>433</v>
      </c>
      <c r="C24" t="s">
        <v>434</v>
      </c>
      <c r="D24" t="s">
        <v>13</v>
      </c>
      <c r="E24" t="s">
        <v>13</v>
      </c>
      <c r="F24" t="s">
        <v>30</v>
      </c>
      <c r="G24" s="64"/>
      <c r="H24">
        <v>-1</v>
      </c>
      <c r="I24">
        <v>1</v>
      </c>
      <c r="J24" s="53" t="s">
        <v>441</v>
      </c>
    </row>
    <row r="25" spans="1:11" x14ac:dyDescent="0.35">
      <c r="A25" t="s">
        <v>433</v>
      </c>
      <c r="B25" t="s">
        <v>433</v>
      </c>
      <c r="C25" t="s">
        <v>434</v>
      </c>
      <c r="D25" t="s">
        <v>13</v>
      </c>
      <c r="E25" t="s">
        <v>13</v>
      </c>
      <c r="F25" t="s">
        <v>32</v>
      </c>
      <c r="G25" s="64"/>
      <c r="H25">
        <v>-1</v>
      </c>
      <c r="I25">
        <v>1</v>
      </c>
      <c r="J25" s="53" t="s">
        <v>441</v>
      </c>
      <c r="K25" s="53"/>
    </row>
    <row r="26" spans="1:11" x14ac:dyDescent="0.35">
      <c r="A26" t="s">
        <v>52</v>
      </c>
      <c r="B26" t="s">
        <v>413</v>
      </c>
      <c r="C26" t="s">
        <v>12</v>
      </c>
      <c r="D26" t="s">
        <v>50</v>
      </c>
      <c r="E26" t="s">
        <v>47</v>
      </c>
      <c r="F26" t="s">
        <v>30</v>
      </c>
      <c r="G26" s="30" t="s">
        <v>15</v>
      </c>
      <c r="H26">
        <v>1</v>
      </c>
      <c r="I26">
        <v>1</v>
      </c>
      <c r="J26" s="53" t="s">
        <v>53</v>
      </c>
    </row>
    <row r="27" spans="1:11" x14ac:dyDescent="0.35">
      <c r="A27" t="s">
        <v>52</v>
      </c>
      <c r="B27" t="s">
        <v>413</v>
      </c>
      <c r="C27" t="s">
        <v>12</v>
      </c>
      <c r="D27" t="s">
        <v>50</v>
      </c>
      <c r="E27" t="s">
        <v>47</v>
      </c>
      <c r="F27" t="s">
        <v>32</v>
      </c>
      <c r="G27" s="30" t="s">
        <v>15</v>
      </c>
      <c r="H27">
        <v>1</v>
      </c>
      <c r="I27">
        <v>1</v>
      </c>
      <c r="J27" s="53" t="s">
        <v>53</v>
      </c>
    </row>
    <row r="28" spans="1:11" x14ac:dyDescent="0.35">
      <c r="A28" t="s">
        <v>52</v>
      </c>
      <c r="B28" t="s">
        <v>413</v>
      </c>
      <c r="C28" t="s">
        <v>12</v>
      </c>
      <c r="D28" t="s">
        <v>50</v>
      </c>
      <c r="E28" t="s">
        <v>71</v>
      </c>
      <c r="F28" t="s">
        <v>30</v>
      </c>
      <c r="G28" s="30" t="s">
        <v>15</v>
      </c>
      <c r="H28">
        <v>-1</v>
      </c>
      <c r="I28">
        <v>1</v>
      </c>
      <c r="J28" s="53" t="s">
        <v>53</v>
      </c>
      <c r="K28" s="53"/>
    </row>
    <row r="29" spans="1:11" x14ac:dyDescent="0.35">
      <c r="A29" t="s">
        <v>52</v>
      </c>
      <c r="B29" t="s">
        <v>413</v>
      </c>
      <c r="C29" t="s">
        <v>12</v>
      </c>
      <c r="D29" t="s">
        <v>50</v>
      </c>
      <c r="E29" t="s">
        <v>71</v>
      </c>
      <c r="F29" t="s">
        <v>32</v>
      </c>
      <c r="G29" s="30" t="s">
        <v>15</v>
      </c>
      <c r="H29">
        <v>-1</v>
      </c>
      <c r="I29">
        <v>1</v>
      </c>
      <c r="J29" s="53" t="s">
        <v>53</v>
      </c>
    </row>
    <row r="30" spans="1:11" x14ac:dyDescent="0.35">
      <c r="A30" t="s">
        <v>52</v>
      </c>
      <c r="B30" t="s">
        <v>413</v>
      </c>
      <c r="C30" t="s">
        <v>12</v>
      </c>
      <c r="D30" t="s">
        <v>50</v>
      </c>
      <c r="E30" t="s">
        <v>72</v>
      </c>
      <c r="F30" t="s">
        <v>30</v>
      </c>
      <c r="G30" s="30" t="s">
        <v>15</v>
      </c>
      <c r="H30">
        <v>1</v>
      </c>
      <c r="I30">
        <v>1</v>
      </c>
      <c r="J30" s="53" t="s">
        <v>53</v>
      </c>
    </row>
    <row r="31" spans="1:11" x14ac:dyDescent="0.35">
      <c r="A31" t="s">
        <v>52</v>
      </c>
      <c r="B31" t="s">
        <v>413</v>
      </c>
      <c r="C31" t="s">
        <v>12</v>
      </c>
      <c r="D31" t="s">
        <v>50</v>
      </c>
      <c r="E31" t="s">
        <v>72</v>
      </c>
      <c r="F31" t="s">
        <v>32</v>
      </c>
      <c r="G31" s="30" t="s">
        <v>15</v>
      </c>
      <c r="H31">
        <v>1</v>
      </c>
      <c r="I31">
        <v>1</v>
      </c>
      <c r="J31" s="53" t="s">
        <v>53</v>
      </c>
    </row>
    <row r="32" spans="1:11" x14ac:dyDescent="0.35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 x14ac:dyDescent="0.35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 x14ac:dyDescent="0.35">
      <c r="A34" t="s">
        <v>23</v>
      </c>
      <c r="B34" t="s">
        <v>11</v>
      </c>
      <c r="C34" t="s">
        <v>24</v>
      </c>
      <c r="D34" t="s">
        <v>13</v>
      </c>
      <c r="E34" t="s">
        <v>13</v>
      </c>
      <c r="F34" t="s">
        <v>14</v>
      </c>
      <c r="G34" t="s">
        <v>15</v>
      </c>
      <c r="H34">
        <v>-1</v>
      </c>
      <c r="I34">
        <v>1</v>
      </c>
      <c r="J34" s="53" t="s">
        <v>25</v>
      </c>
    </row>
    <row r="35" spans="1:10" x14ac:dyDescent="0.35">
      <c r="A35" t="s">
        <v>61</v>
      </c>
      <c r="B35" t="s">
        <v>11</v>
      </c>
      <c r="C35" t="s">
        <v>24</v>
      </c>
      <c r="D35" t="s">
        <v>46</v>
      </c>
      <c r="E35" t="s">
        <v>47</v>
      </c>
      <c r="F35" t="s">
        <v>14</v>
      </c>
      <c r="G35" t="s">
        <v>15</v>
      </c>
      <c r="H35">
        <v>1</v>
      </c>
      <c r="I35">
        <v>1</v>
      </c>
      <c r="J35" s="53" t="s">
        <v>62</v>
      </c>
    </row>
    <row r="36" spans="1:10" x14ac:dyDescent="0.35">
      <c r="A36" t="s">
        <v>61</v>
      </c>
      <c r="B36" t="s">
        <v>11</v>
      </c>
      <c r="C36" t="s">
        <v>24</v>
      </c>
      <c r="D36" t="s">
        <v>46</v>
      </c>
      <c r="E36" t="s">
        <v>71</v>
      </c>
      <c r="F36" t="s">
        <v>14</v>
      </c>
      <c r="G36" t="s">
        <v>15</v>
      </c>
      <c r="H36">
        <v>-1</v>
      </c>
      <c r="I36">
        <v>1</v>
      </c>
      <c r="J36" s="53" t="s">
        <v>62</v>
      </c>
    </row>
    <row r="37" spans="1:10" x14ac:dyDescent="0.35">
      <c r="A37" t="s">
        <v>61</v>
      </c>
      <c r="B37" t="s">
        <v>11</v>
      </c>
      <c r="C37" t="s">
        <v>24</v>
      </c>
      <c r="D37" t="s">
        <v>46</v>
      </c>
      <c r="E37" t="s">
        <v>72</v>
      </c>
      <c r="F37" t="s">
        <v>14</v>
      </c>
      <c r="G37" t="s">
        <v>15</v>
      </c>
      <c r="H37">
        <v>1</v>
      </c>
      <c r="I37">
        <v>1</v>
      </c>
      <c r="J37" s="53" t="s">
        <v>62</v>
      </c>
    </row>
    <row r="38" spans="1:10" x14ac:dyDescent="0.35">
      <c r="A38" t="s">
        <v>26</v>
      </c>
      <c r="B38" t="s">
        <v>11</v>
      </c>
      <c r="C38" t="s">
        <v>24</v>
      </c>
      <c r="D38" t="s">
        <v>13</v>
      </c>
      <c r="E38" t="s">
        <v>13</v>
      </c>
      <c r="F38" t="s">
        <v>14</v>
      </c>
      <c r="G38" t="s">
        <v>15</v>
      </c>
      <c r="H38">
        <v>1</v>
      </c>
      <c r="I38">
        <v>0</v>
      </c>
      <c r="J38" s="53" t="s">
        <v>27</v>
      </c>
    </row>
    <row r="39" spans="1:10" x14ac:dyDescent="0.35">
      <c r="A39" t="s">
        <v>63</v>
      </c>
      <c r="B39" t="s">
        <v>11</v>
      </c>
      <c r="C39" t="s">
        <v>24</v>
      </c>
      <c r="D39" t="s">
        <v>46</v>
      </c>
      <c r="E39" t="s">
        <v>47</v>
      </c>
      <c r="F39" t="s">
        <v>14</v>
      </c>
      <c r="G39" t="s">
        <v>15</v>
      </c>
      <c r="H39">
        <v>-1</v>
      </c>
      <c r="I39">
        <v>0</v>
      </c>
      <c r="J39" s="53" t="s">
        <v>64</v>
      </c>
    </row>
    <row r="40" spans="1:10" x14ac:dyDescent="0.35">
      <c r="A40" t="s">
        <v>63</v>
      </c>
      <c r="B40" t="s">
        <v>11</v>
      </c>
      <c r="C40" t="s">
        <v>24</v>
      </c>
      <c r="D40" t="s">
        <v>46</v>
      </c>
      <c r="E40" t="s">
        <v>71</v>
      </c>
      <c r="F40" t="s">
        <v>14</v>
      </c>
      <c r="G40" t="s">
        <v>15</v>
      </c>
      <c r="H40">
        <v>1</v>
      </c>
      <c r="I40">
        <v>0</v>
      </c>
      <c r="J40" s="53" t="s">
        <v>64</v>
      </c>
    </row>
    <row r="41" spans="1:10" x14ac:dyDescent="0.35">
      <c r="A41" t="s">
        <v>63</v>
      </c>
      <c r="B41" t="s">
        <v>11</v>
      </c>
      <c r="C41" t="s">
        <v>24</v>
      </c>
      <c r="D41" t="s">
        <v>46</v>
      </c>
      <c r="E41" t="s">
        <v>72</v>
      </c>
      <c r="F41" t="s">
        <v>14</v>
      </c>
      <c r="G41" t="s">
        <v>15</v>
      </c>
      <c r="H41">
        <v>-1</v>
      </c>
      <c r="I41">
        <v>0</v>
      </c>
      <c r="J41" s="53" t="s">
        <v>64</v>
      </c>
    </row>
    <row r="42" spans="1:10" x14ac:dyDescent="0.35">
      <c r="A42" t="s">
        <v>17</v>
      </c>
      <c r="B42" t="s">
        <v>18</v>
      </c>
      <c r="C42" t="s">
        <v>12</v>
      </c>
      <c r="D42" t="s">
        <v>13</v>
      </c>
      <c r="E42" t="s">
        <v>13</v>
      </c>
      <c r="F42" t="s">
        <v>14</v>
      </c>
      <c r="G42" t="s">
        <v>15</v>
      </c>
      <c r="H42">
        <v>1</v>
      </c>
      <c r="I42">
        <v>1</v>
      </c>
      <c r="J42" s="53" t="s">
        <v>19</v>
      </c>
    </row>
    <row r="43" spans="1:10" x14ac:dyDescent="0.35">
      <c r="A43" t="s">
        <v>17</v>
      </c>
      <c r="B43" t="s">
        <v>18</v>
      </c>
      <c r="C43" t="s">
        <v>12</v>
      </c>
      <c r="D43" t="s">
        <v>13</v>
      </c>
      <c r="E43" t="s">
        <v>13</v>
      </c>
      <c r="F43" t="s">
        <v>30</v>
      </c>
      <c r="G43" t="s">
        <v>31</v>
      </c>
      <c r="H43">
        <v>1</v>
      </c>
      <c r="I43">
        <v>1</v>
      </c>
      <c r="J43" s="53" t="s">
        <v>22</v>
      </c>
    </row>
    <row r="44" spans="1:10" x14ac:dyDescent="0.35">
      <c r="A44" t="s">
        <v>17</v>
      </c>
      <c r="B44" t="s">
        <v>18</v>
      </c>
      <c r="C44" t="s">
        <v>12</v>
      </c>
      <c r="D44" t="s">
        <v>13</v>
      </c>
      <c r="E44" t="s">
        <v>13</v>
      </c>
      <c r="F44" t="s">
        <v>32</v>
      </c>
      <c r="G44" t="s">
        <v>31</v>
      </c>
      <c r="H44">
        <v>1</v>
      </c>
      <c r="I44">
        <v>1</v>
      </c>
      <c r="J44" s="53" t="s">
        <v>22</v>
      </c>
    </row>
    <row r="45" spans="1:10" x14ac:dyDescent="0.35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3" t="s">
        <v>58</v>
      </c>
    </row>
    <row r="46" spans="1:10" x14ac:dyDescent="0.35">
      <c r="A46" t="s">
        <v>56</v>
      </c>
      <c r="B46" t="s">
        <v>18</v>
      </c>
      <c r="C46" t="s">
        <v>57</v>
      </c>
      <c r="D46" t="s">
        <v>46</v>
      </c>
      <c r="E46" t="s">
        <v>71</v>
      </c>
      <c r="F46" t="s">
        <v>14</v>
      </c>
      <c r="G46" t="s">
        <v>15</v>
      </c>
      <c r="H46">
        <v>1</v>
      </c>
      <c r="I46">
        <v>1</v>
      </c>
      <c r="J46" s="53" t="s">
        <v>58</v>
      </c>
    </row>
    <row r="47" spans="1:10" x14ac:dyDescent="0.35">
      <c r="A47" t="s">
        <v>56</v>
      </c>
      <c r="B47" t="s">
        <v>18</v>
      </c>
      <c r="C47" t="s">
        <v>57</v>
      </c>
      <c r="D47" t="s">
        <v>46</v>
      </c>
      <c r="E47" t="s">
        <v>72</v>
      </c>
      <c r="F47" t="s">
        <v>14</v>
      </c>
      <c r="G47" t="s">
        <v>15</v>
      </c>
      <c r="H47">
        <v>-1</v>
      </c>
      <c r="I47">
        <v>1</v>
      </c>
      <c r="J47" s="53" t="s">
        <v>58</v>
      </c>
    </row>
    <row r="48" spans="1:10" x14ac:dyDescent="0.35">
      <c r="A48" t="s">
        <v>28</v>
      </c>
      <c r="B48" t="s">
        <v>11</v>
      </c>
      <c r="C48" t="s">
        <v>24</v>
      </c>
      <c r="D48" t="s">
        <v>13</v>
      </c>
      <c r="E48" t="s">
        <v>13</v>
      </c>
      <c r="F48" t="s">
        <v>14</v>
      </c>
      <c r="G48" t="s">
        <v>15</v>
      </c>
      <c r="H48">
        <v>1</v>
      </c>
      <c r="I48">
        <v>0</v>
      </c>
      <c r="J48" s="53" t="s">
        <v>29</v>
      </c>
    </row>
    <row r="49" spans="1:10" x14ac:dyDescent="0.35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3" t="s">
        <v>66</v>
      </c>
    </row>
    <row r="50" spans="1:10" x14ac:dyDescent="0.35">
      <c r="A50" t="s">
        <v>65</v>
      </c>
      <c r="B50" t="s">
        <v>11</v>
      </c>
      <c r="C50" t="s">
        <v>24</v>
      </c>
      <c r="D50" t="s">
        <v>46</v>
      </c>
      <c r="E50" t="s">
        <v>71</v>
      </c>
      <c r="F50" t="s">
        <v>14</v>
      </c>
      <c r="G50" t="s">
        <v>15</v>
      </c>
      <c r="H50">
        <v>1</v>
      </c>
      <c r="I50">
        <v>0</v>
      </c>
      <c r="J50" s="53" t="s">
        <v>66</v>
      </c>
    </row>
    <row r="51" spans="1:10" x14ac:dyDescent="0.35">
      <c r="A51" t="s">
        <v>65</v>
      </c>
      <c r="B51" t="s">
        <v>11</v>
      </c>
      <c r="C51" t="s">
        <v>24</v>
      </c>
      <c r="D51" t="s">
        <v>46</v>
      </c>
      <c r="E51" t="s">
        <v>72</v>
      </c>
      <c r="F51" t="s">
        <v>14</v>
      </c>
      <c r="G51" t="s">
        <v>15</v>
      </c>
      <c r="H51">
        <v>-1</v>
      </c>
      <c r="I51">
        <v>0</v>
      </c>
      <c r="J51" s="53" t="s">
        <v>66</v>
      </c>
    </row>
    <row r="52" spans="1:10" x14ac:dyDescent="0.35">
      <c r="A52" t="s">
        <v>20</v>
      </c>
      <c r="B52" t="s">
        <v>21</v>
      </c>
      <c r="C52" t="s">
        <v>12</v>
      </c>
      <c r="D52" t="s">
        <v>13</v>
      </c>
      <c r="E52" t="s">
        <v>13</v>
      </c>
      <c r="F52" t="s">
        <v>14</v>
      </c>
      <c r="G52" t="s">
        <v>15</v>
      </c>
      <c r="H52">
        <v>1</v>
      </c>
      <c r="I52">
        <v>1</v>
      </c>
      <c r="J52" s="53" t="s">
        <v>22</v>
      </c>
    </row>
    <row r="53" spans="1:10" x14ac:dyDescent="0.35">
      <c r="A53" t="s">
        <v>20</v>
      </c>
      <c r="B53" t="s">
        <v>21</v>
      </c>
      <c r="C53" t="s">
        <v>12</v>
      </c>
      <c r="D53" t="s">
        <v>13</v>
      </c>
      <c r="E53" t="s">
        <v>13</v>
      </c>
      <c r="F53" t="s">
        <v>30</v>
      </c>
      <c r="G53" t="s">
        <v>31</v>
      </c>
      <c r="H53">
        <v>1</v>
      </c>
      <c r="I53">
        <v>1</v>
      </c>
      <c r="J53" s="53" t="s">
        <v>19</v>
      </c>
    </row>
    <row r="54" spans="1:10" x14ac:dyDescent="0.35">
      <c r="A54" t="s">
        <v>20</v>
      </c>
      <c r="B54" t="s">
        <v>21</v>
      </c>
      <c r="C54" t="s">
        <v>12</v>
      </c>
      <c r="D54" t="s">
        <v>13</v>
      </c>
      <c r="E54" t="s">
        <v>13</v>
      </c>
      <c r="F54" t="s">
        <v>32</v>
      </c>
      <c r="G54" t="s">
        <v>31</v>
      </c>
      <c r="H54">
        <v>1</v>
      </c>
      <c r="I54">
        <v>1</v>
      </c>
      <c r="J54" s="53" t="s">
        <v>19</v>
      </c>
    </row>
    <row r="55" spans="1:10" x14ac:dyDescent="0.35">
      <c r="A55" t="s">
        <v>59</v>
      </c>
      <c r="B55" t="s">
        <v>21</v>
      </c>
      <c r="C55" t="s">
        <v>57</v>
      </c>
      <c r="D55" t="s">
        <v>46</v>
      </c>
      <c r="E55" t="s">
        <v>47</v>
      </c>
      <c r="F55" t="s">
        <v>14</v>
      </c>
      <c r="G55" t="s">
        <v>15</v>
      </c>
      <c r="H55">
        <v>-1</v>
      </c>
      <c r="I55">
        <v>1</v>
      </c>
      <c r="J55" s="53" t="s">
        <v>60</v>
      </c>
    </row>
    <row r="56" spans="1:10" x14ac:dyDescent="0.35">
      <c r="A56" t="s">
        <v>59</v>
      </c>
      <c r="B56" t="s">
        <v>21</v>
      </c>
      <c r="C56" t="s">
        <v>57</v>
      </c>
      <c r="D56" t="s">
        <v>46</v>
      </c>
      <c r="E56" t="s">
        <v>71</v>
      </c>
      <c r="F56" t="s">
        <v>14</v>
      </c>
      <c r="G56" t="s">
        <v>15</v>
      </c>
      <c r="H56">
        <v>1</v>
      </c>
      <c r="I56">
        <v>1</v>
      </c>
      <c r="J56" s="53" t="s">
        <v>60</v>
      </c>
    </row>
    <row r="57" spans="1:10" x14ac:dyDescent="0.35">
      <c r="A57" t="s">
        <v>59</v>
      </c>
      <c r="B57" t="s">
        <v>21</v>
      </c>
      <c r="C57" t="s">
        <v>57</v>
      </c>
      <c r="D57" t="s">
        <v>46</v>
      </c>
      <c r="E57" t="s">
        <v>72</v>
      </c>
      <c r="F57" t="s">
        <v>14</v>
      </c>
      <c r="G57" t="s">
        <v>15</v>
      </c>
      <c r="H57">
        <v>-1</v>
      </c>
      <c r="I57">
        <v>1</v>
      </c>
      <c r="J57" s="53" t="s">
        <v>60</v>
      </c>
    </row>
    <row r="58" spans="1:10" x14ac:dyDescent="0.35">
      <c r="A58" s="30" t="s">
        <v>430</v>
      </c>
      <c r="B58" t="s">
        <v>11</v>
      </c>
      <c r="C58" t="s">
        <v>39</v>
      </c>
      <c r="D58" t="s">
        <v>46</v>
      </c>
      <c r="E58" t="s">
        <v>47</v>
      </c>
      <c r="F58" t="s">
        <v>14</v>
      </c>
      <c r="G58" t="s">
        <v>15</v>
      </c>
      <c r="H58">
        <v>1</v>
      </c>
      <c r="I58">
        <v>1</v>
      </c>
      <c r="J58" s="53" t="s">
        <v>40</v>
      </c>
    </row>
    <row r="59" spans="1:10" x14ac:dyDescent="0.35">
      <c r="A59" s="30" t="s">
        <v>430</v>
      </c>
      <c r="B59" t="s">
        <v>11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1</v>
      </c>
      <c r="I59">
        <v>1</v>
      </c>
      <c r="J59" s="53" t="s">
        <v>40</v>
      </c>
    </row>
    <row r="60" spans="1:10" x14ac:dyDescent="0.35">
      <c r="A60" s="30" t="s">
        <v>430</v>
      </c>
      <c r="B60" t="s">
        <v>11</v>
      </c>
      <c r="C60" t="s">
        <v>12</v>
      </c>
      <c r="D60" t="s">
        <v>46</v>
      </c>
      <c r="E60" t="s">
        <v>47</v>
      </c>
      <c r="F60" t="s">
        <v>32</v>
      </c>
      <c r="G60" t="s">
        <v>15</v>
      </c>
      <c r="H60">
        <v>1</v>
      </c>
      <c r="I60">
        <v>1</v>
      </c>
      <c r="J60" s="53" t="s">
        <v>40</v>
      </c>
    </row>
    <row r="61" spans="1:10" x14ac:dyDescent="0.35">
      <c r="A61" s="30" t="s">
        <v>430</v>
      </c>
      <c r="B61" t="s">
        <v>11</v>
      </c>
      <c r="C61" t="s">
        <v>39</v>
      </c>
      <c r="D61" t="s">
        <v>46</v>
      </c>
      <c r="E61" t="s">
        <v>72</v>
      </c>
      <c r="F61" t="s">
        <v>14</v>
      </c>
      <c r="G61" t="s">
        <v>15</v>
      </c>
      <c r="H61">
        <v>1</v>
      </c>
      <c r="I61">
        <v>1</v>
      </c>
      <c r="J61" s="53" t="s">
        <v>40</v>
      </c>
    </row>
    <row r="62" spans="1:10" x14ac:dyDescent="0.35">
      <c r="A62" s="30" t="s">
        <v>430</v>
      </c>
      <c r="B62" t="s">
        <v>11</v>
      </c>
      <c r="C62" t="s">
        <v>39</v>
      </c>
      <c r="D62" t="s">
        <v>46</v>
      </c>
      <c r="E62" t="s">
        <v>72</v>
      </c>
      <c r="F62" t="s">
        <v>30</v>
      </c>
      <c r="G62" t="s">
        <v>15</v>
      </c>
      <c r="H62">
        <v>1</v>
      </c>
      <c r="I62">
        <v>1</v>
      </c>
      <c r="J62" s="53" t="s">
        <v>40</v>
      </c>
    </row>
    <row r="63" spans="1:10" x14ac:dyDescent="0.35">
      <c r="A63" s="30" t="s">
        <v>430</v>
      </c>
      <c r="B63" t="s">
        <v>11</v>
      </c>
      <c r="C63" t="s">
        <v>12</v>
      </c>
      <c r="D63" t="s">
        <v>46</v>
      </c>
      <c r="E63" t="s">
        <v>72</v>
      </c>
      <c r="F63" t="s">
        <v>32</v>
      </c>
      <c r="G63" t="s">
        <v>15</v>
      </c>
      <c r="H63">
        <v>1</v>
      </c>
      <c r="I63">
        <v>1</v>
      </c>
      <c r="J63" s="53" t="s">
        <v>40</v>
      </c>
    </row>
    <row r="64" spans="1:10" x14ac:dyDescent="0.35">
      <c r="A64" s="30" t="s">
        <v>428</v>
      </c>
      <c r="B64" t="s">
        <v>18</v>
      </c>
      <c r="C64" t="s">
        <v>39</v>
      </c>
      <c r="D64" t="s">
        <v>13</v>
      </c>
      <c r="E64" t="s">
        <v>13</v>
      </c>
      <c r="F64" t="s">
        <v>14</v>
      </c>
      <c r="G64" t="s">
        <v>15</v>
      </c>
      <c r="H64">
        <v>1</v>
      </c>
      <c r="I64">
        <v>1</v>
      </c>
      <c r="J64" s="53" t="s">
        <v>41</v>
      </c>
    </row>
    <row r="65" spans="1:10" x14ac:dyDescent="0.35">
      <c r="A65" s="30" t="s">
        <v>428</v>
      </c>
      <c r="B65" t="s">
        <v>18</v>
      </c>
      <c r="C65" t="s">
        <v>39</v>
      </c>
      <c r="D65" t="s">
        <v>13</v>
      </c>
      <c r="E65" t="s">
        <v>13</v>
      </c>
      <c r="F65" t="s">
        <v>30</v>
      </c>
      <c r="G65" t="s">
        <v>31</v>
      </c>
      <c r="H65">
        <v>1</v>
      </c>
      <c r="I65">
        <v>1</v>
      </c>
      <c r="J65" s="53" t="s">
        <v>41</v>
      </c>
    </row>
    <row r="66" spans="1:10" x14ac:dyDescent="0.35">
      <c r="A66" s="30" t="s">
        <v>428</v>
      </c>
      <c r="B66" t="s">
        <v>18</v>
      </c>
      <c r="C66" t="s">
        <v>12</v>
      </c>
      <c r="D66" t="s">
        <v>13</v>
      </c>
      <c r="E66" t="s">
        <v>13</v>
      </c>
      <c r="F66" t="s">
        <v>32</v>
      </c>
      <c r="G66" t="s">
        <v>31</v>
      </c>
      <c r="H66">
        <v>1</v>
      </c>
      <c r="I66">
        <v>1</v>
      </c>
      <c r="J66" s="53" t="s">
        <v>41</v>
      </c>
    </row>
    <row r="67" spans="1:10" x14ac:dyDescent="0.35">
      <c r="A67" s="30" t="s">
        <v>429</v>
      </c>
      <c r="B67" t="s">
        <v>21</v>
      </c>
      <c r="C67" t="s">
        <v>39</v>
      </c>
      <c r="D67" t="s">
        <v>13</v>
      </c>
      <c r="E67" t="s">
        <v>13</v>
      </c>
      <c r="F67" t="s">
        <v>14</v>
      </c>
      <c r="G67" t="s">
        <v>15</v>
      </c>
      <c r="H67">
        <v>1</v>
      </c>
      <c r="I67">
        <v>1</v>
      </c>
      <c r="J67" s="53" t="s">
        <v>42</v>
      </c>
    </row>
    <row r="68" spans="1:10" x14ac:dyDescent="0.35">
      <c r="A68" s="30" t="s">
        <v>429</v>
      </c>
      <c r="B68" t="s">
        <v>21</v>
      </c>
      <c r="C68" t="s">
        <v>39</v>
      </c>
      <c r="D68" t="s">
        <v>13</v>
      </c>
      <c r="E68" t="s">
        <v>13</v>
      </c>
      <c r="F68" t="s">
        <v>30</v>
      </c>
      <c r="G68" t="s">
        <v>31</v>
      </c>
      <c r="H68">
        <v>1</v>
      </c>
      <c r="I68">
        <v>1</v>
      </c>
      <c r="J68" s="53" t="s">
        <v>42</v>
      </c>
    </row>
    <row r="69" spans="1:10" x14ac:dyDescent="0.35">
      <c r="A69" s="30" t="s">
        <v>429</v>
      </c>
      <c r="B69" t="s">
        <v>21</v>
      </c>
      <c r="C69" t="s">
        <v>12</v>
      </c>
      <c r="D69" t="s">
        <v>13</v>
      </c>
      <c r="E69" t="s">
        <v>13</v>
      </c>
      <c r="F69" t="s">
        <v>32</v>
      </c>
      <c r="G69" t="s">
        <v>31</v>
      </c>
      <c r="H69">
        <v>1</v>
      </c>
      <c r="I69">
        <v>1</v>
      </c>
      <c r="J69" s="53" t="s">
        <v>42</v>
      </c>
    </row>
    <row r="70" spans="1:10" x14ac:dyDescent="0.35">
      <c r="A70" s="30" t="s">
        <v>427</v>
      </c>
      <c r="B70" t="s">
        <v>11</v>
      </c>
      <c r="C70" t="s">
        <v>39</v>
      </c>
      <c r="D70" t="s">
        <v>13</v>
      </c>
      <c r="E70" t="s">
        <v>13</v>
      </c>
      <c r="F70" t="s">
        <v>14</v>
      </c>
      <c r="G70" t="s">
        <v>15</v>
      </c>
      <c r="H70">
        <v>-1</v>
      </c>
      <c r="I70">
        <v>1</v>
      </c>
      <c r="J70" s="53" t="s">
        <v>40</v>
      </c>
    </row>
    <row r="71" spans="1:10" x14ac:dyDescent="0.35">
      <c r="A71" s="30" t="s">
        <v>427</v>
      </c>
      <c r="B71" t="s">
        <v>11</v>
      </c>
      <c r="C71" t="s">
        <v>39</v>
      </c>
      <c r="D71" t="s">
        <v>13</v>
      </c>
      <c r="E71" t="s">
        <v>13</v>
      </c>
      <c r="F71" t="s">
        <v>30</v>
      </c>
      <c r="G71" t="s">
        <v>31</v>
      </c>
      <c r="H71">
        <v>-1</v>
      </c>
      <c r="I71">
        <v>1</v>
      </c>
      <c r="J71" s="53" t="s">
        <v>40</v>
      </c>
    </row>
    <row r="72" spans="1:10" x14ac:dyDescent="0.35">
      <c r="A72" s="30" t="s">
        <v>427</v>
      </c>
      <c r="B72" t="s">
        <v>11</v>
      </c>
      <c r="C72" t="s">
        <v>12</v>
      </c>
      <c r="D72" t="s">
        <v>13</v>
      </c>
      <c r="E72" t="s">
        <v>13</v>
      </c>
      <c r="F72" t="s">
        <v>32</v>
      </c>
      <c r="G72" t="s">
        <v>31</v>
      </c>
      <c r="H72">
        <v>-1</v>
      </c>
      <c r="I72">
        <v>1</v>
      </c>
      <c r="J72" s="53" t="s">
        <v>40</v>
      </c>
    </row>
    <row r="73" spans="1:10" x14ac:dyDescent="0.35">
      <c r="A73" t="s">
        <v>43</v>
      </c>
      <c r="B73" t="s">
        <v>43</v>
      </c>
      <c r="C73" t="s">
        <v>12</v>
      </c>
      <c r="D73" t="s">
        <v>13</v>
      </c>
      <c r="E73" t="s">
        <v>13</v>
      </c>
      <c r="F73" t="s">
        <v>30</v>
      </c>
      <c r="G73" t="s">
        <v>31</v>
      </c>
      <c r="H73">
        <v>-1</v>
      </c>
      <c r="I73">
        <v>1</v>
      </c>
      <c r="J73" s="53" t="s">
        <v>44</v>
      </c>
    </row>
    <row r="74" spans="1:10" x14ac:dyDescent="0.35">
      <c r="A74" t="s">
        <v>43</v>
      </c>
      <c r="B74" t="s">
        <v>43</v>
      </c>
      <c r="C74" t="s">
        <v>12</v>
      </c>
      <c r="D74" t="s">
        <v>13</v>
      </c>
      <c r="E74" t="s">
        <v>13</v>
      </c>
      <c r="F74" t="s">
        <v>32</v>
      </c>
      <c r="G74" t="s">
        <v>31</v>
      </c>
      <c r="H74">
        <v>-1</v>
      </c>
      <c r="I74">
        <v>1</v>
      </c>
      <c r="J74" s="53" t="s">
        <v>44</v>
      </c>
    </row>
    <row r="75" spans="1:10" x14ac:dyDescent="0.35">
      <c r="A75" t="s">
        <v>10</v>
      </c>
      <c r="B75" t="s">
        <v>11</v>
      </c>
      <c r="C75" t="s">
        <v>12</v>
      </c>
      <c r="D75" t="s">
        <v>13</v>
      </c>
      <c r="E75" t="s">
        <v>13</v>
      </c>
      <c r="F75" t="s">
        <v>14</v>
      </c>
      <c r="G75" t="s">
        <v>15</v>
      </c>
      <c r="H75">
        <v>-1</v>
      </c>
      <c r="I75">
        <v>1</v>
      </c>
      <c r="J75" s="53" t="s">
        <v>16</v>
      </c>
    </row>
    <row r="76" spans="1:10" x14ac:dyDescent="0.35">
      <c r="A76" t="s">
        <v>10</v>
      </c>
      <c r="B76" t="s">
        <v>11</v>
      </c>
      <c r="C76" t="s">
        <v>12</v>
      </c>
      <c r="D76" t="s">
        <v>13</v>
      </c>
      <c r="E76" t="s">
        <v>13</v>
      </c>
      <c r="F76" t="s">
        <v>30</v>
      </c>
      <c r="G76" t="s">
        <v>31</v>
      </c>
      <c r="H76">
        <v>-1</v>
      </c>
      <c r="I76">
        <v>1</v>
      </c>
      <c r="J76" s="53" t="s">
        <v>16</v>
      </c>
    </row>
    <row r="77" spans="1:10" x14ac:dyDescent="0.35">
      <c r="A77" t="s">
        <v>10</v>
      </c>
      <c r="B77" t="s">
        <v>11</v>
      </c>
      <c r="C77" t="s">
        <v>12</v>
      </c>
      <c r="D77" t="s">
        <v>13</v>
      </c>
      <c r="E77" t="s">
        <v>13</v>
      </c>
      <c r="F77" t="s">
        <v>32</v>
      </c>
      <c r="G77" t="s">
        <v>31</v>
      </c>
      <c r="H77">
        <v>-1</v>
      </c>
      <c r="I77">
        <v>1</v>
      </c>
      <c r="J77" s="53" t="s">
        <v>16</v>
      </c>
    </row>
    <row r="78" spans="1:10" x14ac:dyDescent="0.35">
      <c r="A78" t="s">
        <v>49</v>
      </c>
      <c r="B78" t="s">
        <v>43</v>
      </c>
      <c r="C78" t="s">
        <v>12</v>
      </c>
      <c r="D78" t="s">
        <v>50</v>
      </c>
      <c r="E78" t="s">
        <v>47</v>
      </c>
      <c r="F78" t="s">
        <v>30</v>
      </c>
      <c r="G78" s="30" t="s">
        <v>15</v>
      </c>
      <c r="H78">
        <v>1</v>
      </c>
      <c r="I78">
        <v>1</v>
      </c>
      <c r="J78" s="53" t="s">
        <v>51</v>
      </c>
    </row>
    <row r="79" spans="1:10" x14ac:dyDescent="0.35">
      <c r="A79" t="s">
        <v>49</v>
      </c>
      <c r="B79" t="s">
        <v>43</v>
      </c>
      <c r="C79" t="s">
        <v>12</v>
      </c>
      <c r="D79" t="s">
        <v>50</v>
      </c>
      <c r="E79" t="s">
        <v>47</v>
      </c>
      <c r="F79" t="s">
        <v>32</v>
      </c>
      <c r="G79" s="30" t="s">
        <v>15</v>
      </c>
      <c r="H79">
        <v>1</v>
      </c>
      <c r="I79">
        <v>1</v>
      </c>
      <c r="J79" s="53" t="s">
        <v>51</v>
      </c>
    </row>
    <row r="80" spans="1:10" x14ac:dyDescent="0.35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30</v>
      </c>
      <c r="G80" s="30" t="s">
        <v>15</v>
      </c>
      <c r="H80">
        <v>1</v>
      </c>
      <c r="I80">
        <v>1</v>
      </c>
      <c r="J80" s="53" t="s">
        <v>51</v>
      </c>
    </row>
    <row r="81" spans="1:10" x14ac:dyDescent="0.35">
      <c r="A81" t="s">
        <v>49</v>
      </c>
      <c r="B81" t="s">
        <v>43</v>
      </c>
      <c r="C81" t="s">
        <v>12</v>
      </c>
      <c r="D81" t="s">
        <v>50</v>
      </c>
      <c r="E81" t="s">
        <v>72</v>
      </c>
      <c r="F81" t="s">
        <v>32</v>
      </c>
      <c r="G81" s="30" t="s">
        <v>15</v>
      </c>
      <c r="H81">
        <v>1</v>
      </c>
      <c r="I81">
        <v>1</v>
      </c>
      <c r="J81" s="53" t="s">
        <v>51</v>
      </c>
    </row>
    <row r="82" spans="1:10" x14ac:dyDescent="0.35">
      <c r="A82" t="s">
        <v>45</v>
      </c>
      <c r="B82" t="s">
        <v>43</v>
      </c>
      <c r="C82" t="s">
        <v>12</v>
      </c>
      <c r="D82" t="s">
        <v>46</v>
      </c>
      <c r="E82" t="s">
        <v>47</v>
      </c>
      <c r="F82" t="s">
        <v>30</v>
      </c>
      <c r="G82" t="s">
        <v>31</v>
      </c>
      <c r="H82">
        <v>1</v>
      </c>
      <c r="I82">
        <v>1</v>
      </c>
      <c r="J82" s="53" t="s">
        <v>48</v>
      </c>
    </row>
    <row r="83" spans="1:10" x14ac:dyDescent="0.35">
      <c r="A83" t="s">
        <v>45</v>
      </c>
      <c r="B83" t="s">
        <v>43</v>
      </c>
      <c r="C83" t="s">
        <v>12</v>
      </c>
      <c r="D83" t="s">
        <v>46</v>
      </c>
      <c r="E83" t="s">
        <v>47</v>
      </c>
      <c r="F83" t="s">
        <v>32</v>
      </c>
      <c r="G83" t="s">
        <v>31</v>
      </c>
      <c r="H83">
        <v>1</v>
      </c>
      <c r="I83">
        <v>1</v>
      </c>
      <c r="J83" s="53" t="s">
        <v>48</v>
      </c>
    </row>
    <row r="84" spans="1:10" x14ac:dyDescent="0.35">
      <c r="A84" t="s">
        <v>45</v>
      </c>
      <c r="B84" t="s">
        <v>43</v>
      </c>
      <c r="C84" t="s">
        <v>12</v>
      </c>
      <c r="D84" t="s">
        <v>46</v>
      </c>
      <c r="E84" t="s">
        <v>72</v>
      </c>
      <c r="F84" t="s">
        <v>30</v>
      </c>
      <c r="G84" t="s">
        <v>31</v>
      </c>
      <c r="H84">
        <v>1</v>
      </c>
      <c r="I84">
        <v>1</v>
      </c>
      <c r="J84" s="53" t="s">
        <v>48</v>
      </c>
    </row>
    <row r="85" spans="1:10" x14ac:dyDescent="0.35">
      <c r="A85" t="s">
        <v>45</v>
      </c>
      <c r="B85" t="s">
        <v>43</v>
      </c>
      <c r="C85" t="s">
        <v>12</v>
      </c>
      <c r="D85" t="s">
        <v>46</v>
      </c>
      <c r="E85" t="s">
        <v>72</v>
      </c>
      <c r="F85" t="s">
        <v>32</v>
      </c>
      <c r="G85" t="s">
        <v>31</v>
      </c>
      <c r="H85">
        <v>1</v>
      </c>
      <c r="I85">
        <v>1</v>
      </c>
      <c r="J85" s="53" t="s">
        <v>48</v>
      </c>
    </row>
    <row r="86" spans="1:10" x14ac:dyDescent="0.35">
      <c r="A86" t="s">
        <v>33</v>
      </c>
      <c r="B86" t="s">
        <v>33</v>
      </c>
      <c r="C86" t="s">
        <v>12</v>
      </c>
      <c r="D86" t="s">
        <v>13</v>
      </c>
      <c r="E86" t="s">
        <v>13</v>
      </c>
      <c r="F86" t="s">
        <v>14</v>
      </c>
      <c r="G86" t="s">
        <v>15</v>
      </c>
      <c r="H86">
        <v>1</v>
      </c>
      <c r="I86">
        <v>1</v>
      </c>
      <c r="J86" s="53" t="s">
        <v>34</v>
      </c>
    </row>
    <row r="87" spans="1:10" x14ac:dyDescent="0.35">
      <c r="A87" t="s">
        <v>33</v>
      </c>
      <c r="B87" t="s">
        <v>33</v>
      </c>
      <c r="C87" t="s">
        <v>12</v>
      </c>
      <c r="D87" t="s">
        <v>13</v>
      </c>
      <c r="E87" t="s">
        <v>13</v>
      </c>
      <c r="F87" t="s">
        <v>30</v>
      </c>
      <c r="G87" t="s">
        <v>31</v>
      </c>
      <c r="H87">
        <v>1</v>
      </c>
      <c r="I87">
        <v>1</v>
      </c>
      <c r="J87" s="53" t="s">
        <v>34</v>
      </c>
    </row>
    <row r="88" spans="1:10" x14ac:dyDescent="0.35">
      <c r="A88" t="s">
        <v>35</v>
      </c>
      <c r="B88" t="s">
        <v>35</v>
      </c>
      <c r="C88" t="s">
        <v>12</v>
      </c>
      <c r="D88" t="s">
        <v>13</v>
      </c>
      <c r="E88" t="s">
        <v>13</v>
      </c>
      <c r="F88" t="s">
        <v>14</v>
      </c>
      <c r="G88" t="s">
        <v>15</v>
      </c>
      <c r="H88">
        <v>-1</v>
      </c>
      <c r="I88">
        <v>1</v>
      </c>
      <c r="J88" s="53" t="s">
        <v>36</v>
      </c>
    </row>
    <row r="89" spans="1:10" x14ac:dyDescent="0.35">
      <c r="A89" t="s">
        <v>35</v>
      </c>
      <c r="B89" t="s">
        <v>35</v>
      </c>
      <c r="C89" t="s">
        <v>12</v>
      </c>
      <c r="D89" t="s">
        <v>13</v>
      </c>
      <c r="E89" t="s">
        <v>13</v>
      </c>
      <c r="F89" t="s">
        <v>30</v>
      </c>
      <c r="G89" t="s">
        <v>31</v>
      </c>
      <c r="H89">
        <v>-1</v>
      </c>
      <c r="I89">
        <v>1</v>
      </c>
      <c r="J89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35" workbookViewId="0">
      <selection activeCell="B2" sqref="B2:F3"/>
    </sheetView>
  </sheetViews>
  <sheetFormatPr baseColWidth="10" defaultColWidth="11.453125" defaultRowHeight="14.5" x14ac:dyDescent="0.35"/>
  <cols>
    <col min="1" max="1" width="16.1796875" bestFit="1" customWidth="1"/>
    <col min="2" max="2" width="17.1796875" bestFit="1" customWidth="1"/>
    <col min="3" max="3" width="9.1796875" bestFit="1" customWidth="1"/>
    <col min="4" max="4" width="9.81640625" bestFit="1" customWidth="1"/>
    <col min="5" max="5" width="20.36328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topLeftCell="C1" zoomScale="106" zoomScaleNormal="130" workbookViewId="0">
      <pane ySplit="1" topLeftCell="A77" activePane="bottomLeft" state="frozen"/>
      <selection pane="bottomLeft" activeCell="G90" sqref="G90"/>
    </sheetView>
  </sheetViews>
  <sheetFormatPr baseColWidth="10" defaultColWidth="9.1796875" defaultRowHeight="14.5" x14ac:dyDescent="0.35"/>
  <cols>
    <col min="1" max="1" width="10.1796875" bestFit="1" customWidth="1"/>
    <col min="2" max="2" width="13" bestFit="1" customWidth="1"/>
    <col min="3" max="3" width="10.6328125" bestFit="1" customWidth="1"/>
    <col min="4" max="4" width="17.36328125" bestFit="1" customWidth="1"/>
    <col min="5" max="5" width="11.1796875" bestFit="1" customWidth="1"/>
    <col min="6" max="6" width="11.6328125" bestFit="1" customWidth="1"/>
    <col min="7" max="7" width="7.6328125" bestFit="1" customWidth="1"/>
    <col min="8" max="8" width="10.81640625" bestFit="1" customWidth="1"/>
    <col min="9" max="9" width="20.81640625" bestFit="1" customWidth="1"/>
    <col min="10" max="10" width="14.6328125" bestFit="1" customWidth="1"/>
    <col min="11" max="11" width="12" bestFit="1" customWidth="1"/>
    <col min="12" max="12" width="12" customWidth="1"/>
    <col min="13" max="13" width="24.36328125" bestFit="1" customWidth="1"/>
  </cols>
  <sheetData>
    <row r="1" spans="1:13" s="5" customFormat="1" x14ac:dyDescent="0.35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 x14ac:dyDescent="0.35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 x14ac:dyDescent="0.35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 x14ac:dyDescent="0.35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 x14ac:dyDescent="0.35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 x14ac:dyDescent="0.35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 x14ac:dyDescent="0.35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 x14ac:dyDescent="0.35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 x14ac:dyDescent="0.35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 x14ac:dyDescent="0.35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 x14ac:dyDescent="0.35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 x14ac:dyDescent="0.35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 x14ac:dyDescent="0.35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 x14ac:dyDescent="0.35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 x14ac:dyDescent="0.35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 x14ac:dyDescent="0.35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 x14ac:dyDescent="0.35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 x14ac:dyDescent="0.35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 x14ac:dyDescent="0.35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 x14ac:dyDescent="0.35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 x14ac:dyDescent="0.35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 x14ac:dyDescent="0.35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 x14ac:dyDescent="0.35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 x14ac:dyDescent="0.35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 x14ac:dyDescent="0.35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 x14ac:dyDescent="0.35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 x14ac:dyDescent="0.35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 x14ac:dyDescent="0.35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 x14ac:dyDescent="0.35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 x14ac:dyDescent="0.35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 x14ac:dyDescent="0.35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 x14ac:dyDescent="0.35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 x14ac:dyDescent="0.35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 x14ac:dyDescent="0.35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 x14ac:dyDescent="0.35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 x14ac:dyDescent="0.35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 x14ac:dyDescent="0.35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 x14ac:dyDescent="0.35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 x14ac:dyDescent="0.35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 x14ac:dyDescent="0.35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 x14ac:dyDescent="0.35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 x14ac:dyDescent="0.35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 x14ac:dyDescent="0.35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 x14ac:dyDescent="0.35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 x14ac:dyDescent="0.35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 x14ac:dyDescent="0.35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 x14ac:dyDescent="0.35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 x14ac:dyDescent="0.35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 x14ac:dyDescent="0.35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 x14ac:dyDescent="0.35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 x14ac:dyDescent="0.35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 x14ac:dyDescent="0.35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 x14ac:dyDescent="0.35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 x14ac:dyDescent="0.35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 x14ac:dyDescent="0.35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 x14ac:dyDescent="0.35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 x14ac:dyDescent="0.35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 x14ac:dyDescent="0.35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 x14ac:dyDescent="0.35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 x14ac:dyDescent="0.35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 x14ac:dyDescent="0.35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 x14ac:dyDescent="0.35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 x14ac:dyDescent="0.35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 x14ac:dyDescent="0.35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 x14ac:dyDescent="0.35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 x14ac:dyDescent="0.35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 x14ac:dyDescent="0.35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 x14ac:dyDescent="0.35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 x14ac:dyDescent="0.35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 x14ac:dyDescent="0.35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 x14ac:dyDescent="0.35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 x14ac:dyDescent="0.35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 x14ac:dyDescent="0.35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 x14ac:dyDescent="0.35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 x14ac:dyDescent="0.35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 x14ac:dyDescent="0.35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 x14ac:dyDescent="0.35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 x14ac:dyDescent="0.35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 x14ac:dyDescent="0.35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 x14ac:dyDescent="0.35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 x14ac:dyDescent="0.35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 x14ac:dyDescent="0.35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 x14ac:dyDescent="0.35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 x14ac:dyDescent="0.35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 x14ac:dyDescent="0.35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 x14ac:dyDescent="0.35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 x14ac:dyDescent="0.35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 x14ac:dyDescent="0.35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 x14ac:dyDescent="0.35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 x14ac:dyDescent="0.35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 x14ac:dyDescent="0.35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 x14ac:dyDescent="0.35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 x14ac:dyDescent="0.35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 x14ac:dyDescent="0.35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 x14ac:dyDescent="0.35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 x14ac:dyDescent="0.35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 x14ac:dyDescent="0.35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 x14ac:dyDescent="0.35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 x14ac:dyDescent="0.35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 x14ac:dyDescent="0.35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 x14ac:dyDescent="0.35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 x14ac:dyDescent="0.35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 x14ac:dyDescent="0.35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 x14ac:dyDescent="0.35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 x14ac:dyDescent="0.35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 x14ac:dyDescent="0.35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 x14ac:dyDescent="0.35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 x14ac:dyDescent="0.35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 x14ac:dyDescent="0.35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 x14ac:dyDescent="0.35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 x14ac:dyDescent="0.35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 x14ac:dyDescent="0.35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 x14ac:dyDescent="0.35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 x14ac:dyDescent="0.35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 x14ac:dyDescent="0.35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 x14ac:dyDescent="0.35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 x14ac:dyDescent="0.35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 x14ac:dyDescent="0.35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 x14ac:dyDescent="0.35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 x14ac:dyDescent="0.35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 x14ac:dyDescent="0.35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 x14ac:dyDescent="0.35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 x14ac:dyDescent="0.35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 x14ac:dyDescent="0.35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 x14ac:dyDescent="0.35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 x14ac:dyDescent="0.35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 x14ac:dyDescent="0.35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 x14ac:dyDescent="0.35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 x14ac:dyDescent="0.35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 x14ac:dyDescent="0.35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 x14ac:dyDescent="0.35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 x14ac:dyDescent="0.35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 x14ac:dyDescent="0.35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 x14ac:dyDescent="0.35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 x14ac:dyDescent="0.35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 x14ac:dyDescent="0.35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 x14ac:dyDescent="0.35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 x14ac:dyDescent="0.35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 x14ac:dyDescent="0.35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 x14ac:dyDescent="0.35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 x14ac:dyDescent="0.35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 x14ac:dyDescent="0.35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 x14ac:dyDescent="0.35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 x14ac:dyDescent="0.35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 x14ac:dyDescent="0.35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 x14ac:dyDescent="0.35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 x14ac:dyDescent="0.35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 x14ac:dyDescent="0.35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 x14ac:dyDescent="0.35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 x14ac:dyDescent="0.35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 x14ac:dyDescent="0.35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 x14ac:dyDescent="0.35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 x14ac:dyDescent="0.35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 x14ac:dyDescent="0.35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 x14ac:dyDescent="0.35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 x14ac:dyDescent="0.35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 x14ac:dyDescent="0.35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 x14ac:dyDescent="0.35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 x14ac:dyDescent="0.35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 x14ac:dyDescent="0.35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 x14ac:dyDescent="0.35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 x14ac:dyDescent="0.35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 x14ac:dyDescent="0.35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 x14ac:dyDescent="0.35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 x14ac:dyDescent="0.35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 x14ac:dyDescent="0.35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 x14ac:dyDescent="0.35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 x14ac:dyDescent="0.35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 x14ac:dyDescent="0.35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 x14ac:dyDescent="0.35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 x14ac:dyDescent="0.35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 x14ac:dyDescent="0.35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 x14ac:dyDescent="0.35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 x14ac:dyDescent="0.35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 x14ac:dyDescent="0.35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 x14ac:dyDescent="0.35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 x14ac:dyDescent="0.35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 x14ac:dyDescent="0.35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 x14ac:dyDescent="0.35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 x14ac:dyDescent="0.35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 x14ac:dyDescent="0.35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 x14ac:dyDescent="0.35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 x14ac:dyDescent="0.35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 x14ac:dyDescent="0.35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 x14ac:dyDescent="0.35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 x14ac:dyDescent="0.35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 x14ac:dyDescent="0.35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 x14ac:dyDescent="0.35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 x14ac:dyDescent="0.35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 x14ac:dyDescent="0.35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 x14ac:dyDescent="0.35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 x14ac:dyDescent="0.35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 x14ac:dyDescent="0.35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 x14ac:dyDescent="0.35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 x14ac:dyDescent="0.35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 x14ac:dyDescent="0.35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 x14ac:dyDescent="0.35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 x14ac:dyDescent="0.35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 x14ac:dyDescent="0.35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 x14ac:dyDescent="0.35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 x14ac:dyDescent="0.35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 x14ac:dyDescent="0.35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 x14ac:dyDescent="0.35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 x14ac:dyDescent="0.35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 x14ac:dyDescent="0.35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 x14ac:dyDescent="0.35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 x14ac:dyDescent="0.35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 x14ac:dyDescent="0.35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 x14ac:dyDescent="0.35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 x14ac:dyDescent="0.35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 x14ac:dyDescent="0.35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 x14ac:dyDescent="0.35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 x14ac:dyDescent="0.35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 x14ac:dyDescent="0.35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 x14ac:dyDescent="0.35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 x14ac:dyDescent="0.35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 x14ac:dyDescent="0.35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 x14ac:dyDescent="0.35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 x14ac:dyDescent="0.35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 x14ac:dyDescent="0.35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 x14ac:dyDescent="0.35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2" sqref="D2"/>
    </sheetView>
  </sheetViews>
  <sheetFormatPr baseColWidth="10" defaultColWidth="11.453125" defaultRowHeight="14.5" x14ac:dyDescent="0.35"/>
  <cols>
    <col min="1" max="1" width="10.36328125" style="4" bestFit="1" customWidth="1"/>
    <col min="2" max="2" width="14.1796875" bestFit="1" customWidth="1"/>
    <col min="3" max="3" width="15" bestFit="1" customWidth="1"/>
    <col min="4" max="4" width="11.453125" bestFit="1" customWidth="1"/>
  </cols>
  <sheetData>
    <row r="1" spans="1:5" s="5" customFormat="1" x14ac:dyDescent="0.35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3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3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3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3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3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3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3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3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3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3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3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3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3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3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3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3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3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3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3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3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3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3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3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3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3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3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3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3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3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3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3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3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3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3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3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3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3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3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3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3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3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3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3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3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3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3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3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3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3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3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3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3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3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3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3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3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3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3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3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3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3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3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3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3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3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3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3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3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3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3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3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3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3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3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3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3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3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3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3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3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3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3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3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3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3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3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3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3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3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3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3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3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3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3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3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3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3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3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3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3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3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3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3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3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3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3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3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3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3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3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3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3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3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3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3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3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3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3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3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3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3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3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3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3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3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3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3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3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3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3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3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3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3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3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3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3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3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3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3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3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3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3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3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3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3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3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3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3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3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3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3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3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3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3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3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3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3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3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3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3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3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3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3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3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3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3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3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3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3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3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3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3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3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3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3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3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3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3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3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3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3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3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3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3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3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3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3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3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3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3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3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3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3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3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3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3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3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3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3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3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3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3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3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3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3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3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3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3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3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3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3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3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3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3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3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3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3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3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3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3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3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3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3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3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3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3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3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3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3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3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3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3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3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3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3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3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3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3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3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3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3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3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3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3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3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3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3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3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3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3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3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3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3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3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3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3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3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3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3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3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3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3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3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3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3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3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3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3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3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3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3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3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3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3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3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3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3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3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3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3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3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3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3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3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3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3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3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3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3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3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3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3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3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3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3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3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3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3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3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3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3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3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3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3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3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3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3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3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3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3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3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3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3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3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3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3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3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3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3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3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3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3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3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3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3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3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3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3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3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3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3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3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3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3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3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3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3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3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3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3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3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3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3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3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3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3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3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3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3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3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3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3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3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3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3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3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3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3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3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3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3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3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3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3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3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3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3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3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3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3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3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3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3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3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3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3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3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3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3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3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3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3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3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3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3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3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3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3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3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3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3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3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3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3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3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3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3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3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3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3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3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3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3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3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3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3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3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3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3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3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3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3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3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3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3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3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3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3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3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3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3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3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3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3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3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3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3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3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3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3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3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3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3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3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3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3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3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3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3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3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3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3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3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3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3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3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3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3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3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3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3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3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3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3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3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3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3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3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3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3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3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3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3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3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3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3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3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3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3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3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3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3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3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3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3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3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3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3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3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3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3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3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3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3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3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3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3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3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3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3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3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3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3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3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3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3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3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3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3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3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3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3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3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3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3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3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3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3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3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3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3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3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3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3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3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3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3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3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3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3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3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3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3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3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3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3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3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3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3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3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3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3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3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3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3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3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3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3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3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3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3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3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3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3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3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3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3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3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3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3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3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3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3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3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3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3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3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3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3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3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3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3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3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3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3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3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3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3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3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3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3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3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3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3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3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3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3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3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3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3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3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3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3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3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3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3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3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3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3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3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3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3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3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3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3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3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3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3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3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3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3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3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3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3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3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3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3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3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3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3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3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3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3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3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3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3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3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3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3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3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3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3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3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3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3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3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3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3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3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3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3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3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3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3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3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3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3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3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3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3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3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3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3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3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3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3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3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3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3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3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3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3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3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3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3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3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3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3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3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3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3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3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3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3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3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3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3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3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3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3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3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3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3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3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3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3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3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3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3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3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3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3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3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3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3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3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3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3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3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3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3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3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3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3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3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3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3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3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3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3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3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3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3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3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3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3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3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3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3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3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3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3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3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3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3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3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3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3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3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3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3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3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3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3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3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3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3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3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3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3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3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3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3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3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3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3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3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3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3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3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3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3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3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3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3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3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3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3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3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3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3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3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3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3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3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3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3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3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3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3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3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3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3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3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3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3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3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3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3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3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3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3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3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3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3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3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3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3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3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3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3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3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3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3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3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3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3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3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3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3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3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3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3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3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3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3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3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3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3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3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3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3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3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3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3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3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3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3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3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3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3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3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3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3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3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3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3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3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3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3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3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3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3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3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3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3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3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3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3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3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3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3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3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3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3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3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3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3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3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3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3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3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3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3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3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3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3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3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3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3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3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3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3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3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3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3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3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3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3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3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3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3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3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3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3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3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3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3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3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3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3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3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3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3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3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3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3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3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3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3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3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3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3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3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3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3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3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3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3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3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3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3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3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3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3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3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3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3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3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3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3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3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3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3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3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3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3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3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3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3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3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3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3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3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3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3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3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3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3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3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3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3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3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3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3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3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3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3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3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3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3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3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3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3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3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3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3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3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3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3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3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3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3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3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3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3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3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3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3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3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3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3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3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3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3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3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3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3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3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3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3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3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3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3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3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3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3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3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3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3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3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3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3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3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3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3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3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3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3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3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3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3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3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3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3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3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3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3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3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3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3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3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3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3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3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3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3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3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3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3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3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3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3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3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3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3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3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3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3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3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3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3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3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3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3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3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3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3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3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3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3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3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3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3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3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3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3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3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3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3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3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3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3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3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3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3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3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3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3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3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3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3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3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3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3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3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3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3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3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3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3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3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3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35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35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35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35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35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35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35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35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35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35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35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35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35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35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35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35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35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35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35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35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35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35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35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35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35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35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35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35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35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35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35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35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35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35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35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35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35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35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35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35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35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35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35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35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35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35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35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35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35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35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35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35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35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35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35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35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35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35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35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35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35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35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35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35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35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35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35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35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35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35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35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35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35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35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35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35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35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35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35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35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35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35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35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35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35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35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35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35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35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35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35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35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35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35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35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35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35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35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35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35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35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35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35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35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35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35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35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35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35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35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35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35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35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35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35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35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35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35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35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35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35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35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35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35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35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35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35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35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35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35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35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35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35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35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35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35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35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35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35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35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35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35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35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35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35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35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35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35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35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35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35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35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35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35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35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35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35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35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35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35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35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35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35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35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35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35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35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35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35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35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35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35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35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35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35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35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35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35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35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35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35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35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35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35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35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35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35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35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35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35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35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35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35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35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35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35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35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35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35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35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35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35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35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35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35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35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35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35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35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35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35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35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35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35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35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35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35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35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35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35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35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35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35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35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35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35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35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35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35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35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35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35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35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35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35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35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35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35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35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35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35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35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35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35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35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35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35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35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35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35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35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35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35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35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35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35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35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35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35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35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35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35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35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35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35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35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35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35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35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35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35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35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35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35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35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35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35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35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35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35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35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35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35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35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35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35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35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35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35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35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35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35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35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35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35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35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35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35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35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35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35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35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35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35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35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35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35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35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35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35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35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35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35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35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35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35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35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35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35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35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35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35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35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35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35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35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35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35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35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35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35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35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35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35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35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35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35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35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35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35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35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35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35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35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35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35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35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35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35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35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35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35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35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35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35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35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35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35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35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35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35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35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35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35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35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35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35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35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35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35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35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35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35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35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35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35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35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35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35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35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35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35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35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35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35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35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35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35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35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35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35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35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35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35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35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35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35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35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35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35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35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35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35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35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35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35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35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35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sqref="A1:XFD1"/>
    </sheetView>
  </sheetViews>
  <sheetFormatPr baseColWidth="10" defaultColWidth="11.453125" defaultRowHeight="14.5" x14ac:dyDescent="0.35"/>
  <cols>
    <col min="1" max="4" width="17.36328125" customWidth="1"/>
    <col min="5" max="5" width="17.36328125" style="2" customWidth="1"/>
    <col min="6" max="14" width="17.36328125" customWidth="1"/>
  </cols>
  <sheetData>
    <row r="1" spans="1:14" s="5" customFormat="1" x14ac:dyDescent="0.35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 x14ac:dyDescent="0.35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 x14ac:dyDescent="0.35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 x14ac:dyDescent="0.35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 x14ac:dyDescent="0.35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 x14ac:dyDescent="0.35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 x14ac:dyDescent="0.35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 x14ac:dyDescent="0.35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 x14ac:dyDescent="0.35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 x14ac:dyDescent="0.35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 x14ac:dyDescent="0.35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 x14ac:dyDescent="0.35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 x14ac:dyDescent="0.35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 x14ac:dyDescent="0.35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 x14ac:dyDescent="0.35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 x14ac:dyDescent="0.35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 x14ac:dyDescent="0.35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 x14ac:dyDescent="0.35">
      <c r="G22" s="7"/>
      <c r="H22" s="7"/>
      <c r="I22" s="7"/>
      <c r="J22" s="7"/>
      <c r="K22" s="3"/>
    </row>
    <row r="23" spans="1:14" x14ac:dyDescent="0.35">
      <c r="G23" s="7"/>
      <c r="H23" s="7"/>
      <c r="I23" s="7"/>
      <c r="J23" s="7"/>
      <c r="K23" s="3"/>
    </row>
    <row r="24" spans="1:14" x14ac:dyDescent="0.35">
      <c r="G24" s="7"/>
      <c r="H24" s="7"/>
      <c r="I24" s="7"/>
      <c r="J24" s="7"/>
      <c r="K24" s="3"/>
    </row>
    <row r="25" spans="1:14" x14ac:dyDescent="0.35">
      <c r="G25" s="7"/>
      <c r="H25" s="7"/>
      <c r="I25" s="7"/>
      <c r="J25" s="7"/>
      <c r="K25" s="3"/>
    </row>
    <row r="26" spans="1:14" x14ac:dyDescent="0.35">
      <c r="G26" s="7"/>
      <c r="H26" s="7"/>
      <c r="I26" s="7"/>
      <c r="J26" s="7"/>
      <c r="K26" s="3"/>
    </row>
    <row r="27" spans="1:14" x14ac:dyDescent="0.35">
      <c r="G27" s="7"/>
      <c r="H27" s="7"/>
      <c r="I27" s="7"/>
      <c r="J27" s="7"/>
      <c r="K27" s="3"/>
    </row>
    <row r="28" spans="1:14" x14ac:dyDescent="0.35">
      <c r="G28" s="7"/>
      <c r="H28" s="7"/>
      <c r="I28" s="7"/>
      <c r="J28" s="7"/>
      <c r="K28" s="3"/>
    </row>
    <row r="29" spans="1:14" x14ac:dyDescent="0.35">
      <c r="G29" s="7"/>
      <c r="H29" s="7"/>
      <c r="I29" s="7"/>
      <c r="J29" s="7"/>
      <c r="K29" s="6"/>
    </row>
    <row r="30" spans="1:14" x14ac:dyDescent="0.35">
      <c r="G30" s="7"/>
      <c r="H30" s="7"/>
      <c r="I30" s="7"/>
      <c r="J30" s="7"/>
      <c r="K30" s="3"/>
    </row>
    <row r="31" spans="1:14" x14ac:dyDescent="0.35">
      <c r="G31" s="7"/>
      <c r="H31" s="7"/>
      <c r="I31" s="7"/>
      <c r="J31" s="7"/>
      <c r="K31" s="6"/>
    </row>
    <row r="32" spans="1:14" x14ac:dyDescent="0.35">
      <c r="G32" s="7"/>
      <c r="H32" s="7"/>
      <c r="I32" s="7"/>
      <c r="J32" s="7"/>
      <c r="K32" s="3"/>
    </row>
    <row r="33" spans="7:11" x14ac:dyDescent="0.35">
      <c r="G33" s="7"/>
      <c r="H33" s="7"/>
      <c r="I33" s="7"/>
      <c r="J33" s="7"/>
      <c r="K33" s="3"/>
    </row>
    <row r="34" spans="7:11" x14ac:dyDescent="0.35">
      <c r="G34" s="7"/>
      <c r="H34" s="7"/>
      <c r="I34" s="7"/>
      <c r="J34" s="7"/>
      <c r="K34" s="6"/>
    </row>
    <row r="35" spans="7:11" x14ac:dyDescent="0.35">
      <c r="G35" s="7"/>
      <c r="H35" s="7"/>
      <c r="I35" s="7"/>
      <c r="J35" s="7"/>
      <c r="K35" s="6"/>
    </row>
    <row r="36" spans="7:11" x14ac:dyDescent="0.35">
      <c r="G36" s="7"/>
      <c r="H36" s="7"/>
      <c r="I36" s="7"/>
      <c r="J36" s="7"/>
      <c r="K36" s="6"/>
    </row>
    <row r="37" spans="7:11" x14ac:dyDescent="0.35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5"/>
  <sheetViews>
    <sheetView zoomScale="70" zoomScaleNormal="70" workbookViewId="0">
      <selection activeCell="Q2" sqref="Q2:Q23"/>
    </sheetView>
  </sheetViews>
  <sheetFormatPr baseColWidth="10" defaultColWidth="11.453125" defaultRowHeight="14.5" x14ac:dyDescent="0.35"/>
  <cols>
    <col min="1" max="1" width="27.36328125" bestFit="1" customWidth="1"/>
    <col min="2" max="2" width="27.08984375" bestFit="1" customWidth="1"/>
    <col min="3" max="3" width="12.36328125" bestFit="1" customWidth="1"/>
    <col min="4" max="4" width="13.54296875" bestFit="1" customWidth="1"/>
    <col min="5" max="5" width="22.453125" bestFit="1" customWidth="1"/>
    <col min="6" max="6" width="12.6328125" style="1" bestFit="1" customWidth="1"/>
    <col min="7" max="7" width="20.6328125" style="1" bestFit="1" customWidth="1"/>
    <col min="8" max="8" width="13.6328125" style="1" bestFit="1" customWidth="1"/>
    <col min="9" max="9" width="13.6328125" style="1" customWidth="1"/>
    <col min="10" max="10" width="16.453125" style="1" bestFit="1" customWidth="1"/>
    <col min="11" max="11" width="9.453125" style="1" bestFit="1" customWidth="1"/>
    <col min="12" max="12" width="10.1796875" style="3" bestFit="1" customWidth="1"/>
    <col min="13" max="13" width="7.81640625" bestFit="1" customWidth="1"/>
    <col min="14" max="14" width="10.81640625" bestFit="1" customWidth="1"/>
    <col min="15" max="15" width="20.36328125" bestFit="1" customWidth="1"/>
    <col min="16" max="16" width="8" bestFit="1" customWidth="1"/>
    <col min="17" max="17" width="26.6328125" bestFit="1" customWidth="1"/>
    <col min="18" max="18" width="26.36328125" bestFit="1" customWidth="1"/>
    <col min="19" max="19" width="23.81640625" bestFit="1" customWidth="1"/>
    <col min="20" max="20" width="29.6328125" bestFit="1" customWidth="1"/>
    <col min="21" max="21" width="27.36328125" bestFit="1" customWidth="1"/>
    <col min="22" max="22" width="19.36328125" bestFit="1" customWidth="1"/>
  </cols>
  <sheetData>
    <row r="1" spans="1:22" s="5" customFormat="1" x14ac:dyDescent="0.35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 x14ac:dyDescent="0.35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 t="shared" ref="G2:G23" si="0"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59">
        <v>1200</v>
      </c>
    </row>
    <row r="3" spans="1:22" x14ac:dyDescent="0.35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si="0"/>
        <v>9024605326</v>
      </c>
      <c r="H3" t="s">
        <v>126</v>
      </c>
      <c r="I3" t="str">
        <f t="shared" ref="I3:I23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59">
        <v>1200</v>
      </c>
    </row>
    <row r="4" spans="1:22" x14ac:dyDescent="0.35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0">
        <v>50</v>
      </c>
    </row>
    <row r="5" spans="1:22" x14ac:dyDescent="0.35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59">
        <v>100</v>
      </c>
    </row>
    <row r="6" spans="1:22" x14ac:dyDescent="0.35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59">
        <v>100</v>
      </c>
    </row>
    <row r="7" spans="1:22" x14ac:dyDescent="0.35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59">
        <v>100</v>
      </c>
    </row>
    <row r="8" spans="1:22" x14ac:dyDescent="0.35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59">
        <v>-34.375</v>
      </c>
    </row>
    <row r="9" spans="1:22" s="10" customFormat="1" x14ac:dyDescent="0.35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59">
        <v>1200</v>
      </c>
    </row>
    <row r="10" spans="1:22" x14ac:dyDescent="0.35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59">
        <v>1200</v>
      </c>
    </row>
    <row r="11" spans="1:22" x14ac:dyDescent="0.35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59">
        <v>1200</v>
      </c>
    </row>
    <row r="12" spans="1:22" x14ac:dyDescent="0.35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59">
        <v>-555.85831062670297</v>
      </c>
    </row>
    <row r="13" spans="1:22" x14ac:dyDescent="0.35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59">
        <v>1200</v>
      </c>
    </row>
    <row r="14" spans="1:22" s="10" customFormat="1" x14ac:dyDescent="0.35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59">
        <v>100</v>
      </c>
    </row>
    <row r="15" spans="1:22" x14ac:dyDescent="0.35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59">
        <v>1000</v>
      </c>
    </row>
    <row r="16" spans="1:22" x14ac:dyDescent="0.35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59">
        <v>200</v>
      </c>
    </row>
    <row r="17" spans="1:22" x14ac:dyDescent="0.35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0">
        <v>50</v>
      </c>
    </row>
    <row r="18" spans="1:22" x14ac:dyDescent="0.35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0">
        <v>1200</v>
      </c>
    </row>
    <row r="19" spans="1:22" x14ac:dyDescent="0.35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0">
        <v>1200</v>
      </c>
    </row>
    <row r="20" spans="1:22" x14ac:dyDescent="0.35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59">
        <v>135742</v>
      </c>
    </row>
    <row r="21" spans="1:22" x14ac:dyDescent="0.35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59">
        <v>13809</v>
      </c>
    </row>
    <row r="22" spans="1:22" x14ac:dyDescent="0.35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59">
        <v>15754</v>
      </c>
    </row>
    <row r="23" spans="1:22" x14ac:dyDescent="0.35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59">
        <v>6621000</v>
      </c>
    </row>
    <row r="25" spans="1:22" x14ac:dyDescent="0.35">
      <c r="D25" s="61"/>
      <c r="Q25" s="4"/>
      <c r="R25" s="4"/>
      <c r="S25" s="4"/>
      <c r="T25" s="4"/>
    </row>
  </sheetData>
  <conditionalFormatting sqref="D1:D23 D25:D1048576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F4D8-2AEA-4913-93D7-B86EA85C5B3E}">
  <dimension ref="A1:W41"/>
  <sheetViews>
    <sheetView zoomScale="57" workbookViewId="0">
      <selection activeCell="U2" sqref="U2:V37"/>
    </sheetView>
  </sheetViews>
  <sheetFormatPr baseColWidth="10" defaultRowHeight="14.5" x14ac:dyDescent="0.35"/>
  <cols>
    <col min="1" max="1" width="13" bestFit="1" customWidth="1"/>
    <col min="2" max="2" width="28.453125" bestFit="1" customWidth="1"/>
    <col min="3" max="3" width="12.1796875" bestFit="1" customWidth="1"/>
    <col min="4" max="4" width="14.6328125" bestFit="1" customWidth="1"/>
    <col min="5" max="5" width="22.453125" bestFit="1" customWidth="1"/>
    <col min="6" max="6" width="22.08984375" bestFit="1" customWidth="1"/>
    <col min="7" max="7" width="13.36328125" bestFit="1" customWidth="1"/>
    <col min="8" max="8" width="23.08984375" bestFit="1" customWidth="1"/>
    <col min="9" max="9" width="7.7265625" bestFit="1" customWidth="1"/>
    <col min="10" max="10" width="13" bestFit="1" customWidth="1"/>
    <col min="11" max="11" width="16" bestFit="1" customWidth="1"/>
    <col min="12" max="12" width="9.36328125" bestFit="1" customWidth="1"/>
    <col min="13" max="13" width="10.26953125" bestFit="1" customWidth="1"/>
    <col min="14" max="14" width="5.36328125" bestFit="1" customWidth="1"/>
    <col min="15" max="15" width="9" bestFit="1" customWidth="1"/>
    <col min="16" max="16" width="7.7265625" bestFit="1" customWidth="1"/>
    <col min="17" max="17" width="8.1796875" bestFit="1" customWidth="1"/>
    <col min="18" max="18" width="25.90625" bestFit="1" customWidth="1"/>
    <col min="19" max="19" width="25.6328125" bestFit="1" customWidth="1"/>
    <col min="20" max="20" width="23.1796875" bestFit="1" customWidth="1"/>
    <col min="21" max="21" width="25.08984375" bestFit="1" customWidth="1"/>
    <col min="22" max="22" width="22.7265625" bestFit="1" customWidth="1"/>
    <col min="23" max="23" width="19.26953125" bestFit="1" customWidth="1"/>
  </cols>
  <sheetData>
    <row r="1" spans="1:23" s="5" customFormat="1" x14ac:dyDescent="0.35">
      <c r="A1" s="49" t="s">
        <v>132</v>
      </c>
      <c r="B1" s="49" t="s">
        <v>0</v>
      </c>
      <c r="C1" s="49" t="s">
        <v>4</v>
      </c>
      <c r="D1" s="19" t="s">
        <v>116</v>
      </c>
      <c r="E1" s="19" t="s">
        <v>437</v>
      </c>
      <c r="F1" s="49" t="s">
        <v>133</v>
      </c>
      <c r="G1" s="5" t="s">
        <v>15</v>
      </c>
      <c r="H1" s="49" t="s">
        <v>431</v>
      </c>
      <c r="I1" s="5" t="s">
        <v>118</v>
      </c>
      <c r="J1" s="5" t="s">
        <v>432</v>
      </c>
      <c r="K1" s="5" t="s">
        <v>119</v>
      </c>
      <c r="L1" s="5" t="s">
        <v>73</v>
      </c>
      <c r="M1" s="5" t="s">
        <v>74</v>
      </c>
      <c r="N1" s="5" t="s">
        <v>85</v>
      </c>
      <c r="O1" s="5" t="s">
        <v>86</v>
      </c>
      <c r="P1" s="5" t="s">
        <v>75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440</v>
      </c>
      <c r="V1" s="5" t="s">
        <v>194</v>
      </c>
      <c r="W1" s="5" t="s">
        <v>140</v>
      </c>
    </row>
    <row r="2" spans="1:23" x14ac:dyDescent="0.35">
      <c r="B2" t="s">
        <v>433</v>
      </c>
      <c r="C2" t="s">
        <v>13</v>
      </c>
      <c r="D2" t="s">
        <v>444</v>
      </c>
      <c r="E2" s="62"/>
      <c r="F2" s="4">
        <v>45674</v>
      </c>
      <c r="G2" s="2">
        <v>240049166</v>
      </c>
      <c r="H2" s="2">
        <f t="shared" ref="H2:H37" si="0">+G2</f>
        <v>240049166</v>
      </c>
      <c r="I2" t="s">
        <v>435</v>
      </c>
      <c r="J2" t="s">
        <v>436</v>
      </c>
      <c r="K2" s="58" t="s">
        <v>439</v>
      </c>
      <c r="L2" s="57" t="s">
        <v>81</v>
      </c>
      <c r="M2" s="6" t="s">
        <v>371</v>
      </c>
      <c r="N2" s="3" t="s">
        <v>425</v>
      </c>
      <c r="O2" t="s">
        <v>423</v>
      </c>
      <c r="P2" s="7" t="s">
        <v>438</v>
      </c>
      <c r="Q2" t="s">
        <v>115</v>
      </c>
      <c r="R2" s="4">
        <v>45674</v>
      </c>
      <c r="S2" s="4">
        <v>45674</v>
      </c>
      <c r="T2" s="4">
        <v>45705</v>
      </c>
      <c r="U2" s="14">
        <v>45674</v>
      </c>
      <c r="V2" s="14">
        <v>46039</v>
      </c>
      <c r="W2" s="59">
        <v>8649</v>
      </c>
    </row>
    <row r="3" spans="1:23" x14ac:dyDescent="0.35">
      <c r="B3" t="s">
        <v>433</v>
      </c>
      <c r="C3" t="s">
        <v>13</v>
      </c>
      <c r="D3" t="s">
        <v>444</v>
      </c>
      <c r="E3" s="62"/>
      <c r="F3" s="4">
        <v>45674</v>
      </c>
      <c r="G3">
        <v>10069339722</v>
      </c>
      <c r="H3" s="2">
        <f t="shared" si="0"/>
        <v>10069339722</v>
      </c>
      <c r="I3" t="s">
        <v>435</v>
      </c>
      <c r="J3" t="s">
        <v>436</v>
      </c>
      <c r="K3" s="58" t="s">
        <v>439</v>
      </c>
      <c r="L3" s="57" t="s">
        <v>81</v>
      </c>
      <c r="M3" s="6" t="s">
        <v>371</v>
      </c>
      <c r="N3" s="3" t="s">
        <v>425</v>
      </c>
      <c r="O3" t="s">
        <v>423</v>
      </c>
      <c r="P3" s="7" t="s">
        <v>438</v>
      </c>
      <c r="Q3" t="s">
        <v>115</v>
      </c>
      <c r="R3" s="4">
        <v>45695</v>
      </c>
      <c r="S3" s="4">
        <v>45705</v>
      </c>
      <c r="T3" s="4">
        <v>45733</v>
      </c>
      <c r="U3" s="14">
        <v>45674</v>
      </c>
      <c r="V3" s="14">
        <v>46039</v>
      </c>
      <c r="W3" s="59">
        <v>8649</v>
      </c>
    </row>
    <row r="4" spans="1:23" x14ac:dyDescent="0.35">
      <c r="B4" t="s">
        <v>433</v>
      </c>
      <c r="C4" t="s">
        <v>13</v>
      </c>
      <c r="D4" t="s">
        <v>444</v>
      </c>
      <c r="E4" s="63"/>
      <c r="F4" s="21">
        <v>45674</v>
      </c>
      <c r="G4">
        <v>10070577600</v>
      </c>
      <c r="H4" s="2">
        <f t="shared" si="0"/>
        <v>10070577600</v>
      </c>
      <c r="I4" t="s">
        <v>435</v>
      </c>
      <c r="J4" t="s">
        <v>436</v>
      </c>
      <c r="K4" s="58" t="s">
        <v>439</v>
      </c>
      <c r="L4" s="57" t="s">
        <v>81</v>
      </c>
      <c r="M4" s="6" t="s">
        <v>371</v>
      </c>
      <c r="N4" s="3" t="s">
        <v>425</v>
      </c>
      <c r="O4" t="s">
        <v>423</v>
      </c>
      <c r="P4" s="7" t="s">
        <v>438</v>
      </c>
      <c r="Q4" t="s">
        <v>115</v>
      </c>
      <c r="R4" s="21">
        <v>45723</v>
      </c>
      <c r="S4" s="21">
        <v>45733</v>
      </c>
      <c r="T4" s="21">
        <v>45764</v>
      </c>
      <c r="U4" s="14">
        <v>45674</v>
      </c>
      <c r="V4" s="14">
        <v>46039</v>
      </c>
      <c r="W4" s="59">
        <v>8649</v>
      </c>
    </row>
    <row r="5" spans="1:23" x14ac:dyDescent="0.35">
      <c r="B5" t="s">
        <v>433</v>
      </c>
      <c r="C5" t="s">
        <v>13</v>
      </c>
      <c r="D5" t="s">
        <v>444</v>
      </c>
      <c r="E5" s="62"/>
      <c r="F5" s="4">
        <v>45674</v>
      </c>
      <c r="G5">
        <v>10071816461</v>
      </c>
      <c r="H5" s="2">
        <f t="shared" si="0"/>
        <v>10071816461</v>
      </c>
      <c r="I5" t="s">
        <v>435</v>
      </c>
      <c r="J5" t="s">
        <v>436</v>
      </c>
      <c r="K5" s="58" t="s">
        <v>439</v>
      </c>
      <c r="L5" s="57" t="s">
        <v>81</v>
      </c>
      <c r="M5" s="6" t="s">
        <v>371</v>
      </c>
      <c r="N5" s="3" t="s">
        <v>425</v>
      </c>
      <c r="O5" t="s">
        <v>423</v>
      </c>
      <c r="P5" s="7" t="s">
        <v>438</v>
      </c>
      <c r="Q5" t="s">
        <v>115</v>
      </c>
      <c r="R5" s="4">
        <v>45754</v>
      </c>
      <c r="S5" s="4">
        <v>45764</v>
      </c>
      <c r="T5" s="4">
        <v>45794</v>
      </c>
      <c r="U5" s="14">
        <v>45674</v>
      </c>
      <c r="V5" s="14">
        <v>46039</v>
      </c>
      <c r="W5" s="59">
        <v>8649</v>
      </c>
    </row>
    <row r="6" spans="1:23" x14ac:dyDescent="0.35">
      <c r="B6" t="s">
        <v>433</v>
      </c>
      <c r="C6" t="s">
        <v>13</v>
      </c>
      <c r="D6" t="s">
        <v>444</v>
      </c>
      <c r="E6" s="62"/>
      <c r="F6" s="4">
        <v>45674</v>
      </c>
      <c r="G6">
        <v>10073090840</v>
      </c>
      <c r="H6" s="2">
        <f t="shared" si="0"/>
        <v>10073090840</v>
      </c>
      <c r="I6" t="s">
        <v>435</v>
      </c>
      <c r="J6" t="s">
        <v>436</v>
      </c>
      <c r="K6" s="58" t="s">
        <v>439</v>
      </c>
      <c r="L6" s="57" t="s">
        <v>81</v>
      </c>
      <c r="M6" s="6" t="s">
        <v>371</v>
      </c>
      <c r="N6" s="3" t="s">
        <v>425</v>
      </c>
      <c r="O6" t="s">
        <v>423</v>
      </c>
      <c r="P6" s="7" t="s">
        <v>438</v>
      </c>
      <c r="Q6" t="s">
        <v>115</v>
      </c>
      <c r="R6" s="4">
        <v>45784</v>
      </c>
      <c r="S6" s="4">
        <v>45794</v>
      </c>
      <c r="T6" s="4">
        <v>45825</v>
      </c>
      <c r="U6" s="14">
        <v>45674</v>
      </c>
      <c r="V6" s="14">
        <v>46039</v>
      </c>
      <c r="W6" s="59">
        <v>8649</v>
      </c>
    </row>
    <row r="7" spans="1:23" x14ac:dyDescent="0.35">
      <c r="B7" t="s">
        <v>433</v>
      </c>
      <c r="C7" t="s">
        <v>13</v>
      </c>
      <c r="D7" t="s">
        <v>444</v>
      </c>
      <c r="E7" s="62"/>
      <c r="F7" s="4">
        <v>45674</v>
      </c>
      <c r="G7">
        <v>10074559147</v>
      </c>
      <c r="H7" s="2">
        <f t="shared" si="0"/>
        <v>10074559147</v>
      </c>
      <c r="I7" t="s">
        <v>435</v>
      </c>
      <c r="J7" t="s">
        <v>436</v>
      </c>
      <c r="K7" s="58" t="s">
        <v>439</v>
      </c>
      <c r="L7" s="57" t="s">
        <v>81</v>
      </c>
      <c r="M7" s="6" t="s">
        <v>371</v>
      </c>
      <c r="N7" s="3" t="s">
        <v>425</v>
      </c>
      <c r="O7" t="s">
        <v>423</v>
      </c>
      <c r="P7" s="7" t="s">
        <v>438</v>
      </c>
      <c r="Q7" t="s">
        <v>115</v>
      </c>
      <c r="R7" s="4">
        <v>45821</v>
      </c>
      <c r="S7" s="4">
        <v>45825</v>
      </c>
      <c r="T7" s="4">
        <v>45855</v>
      </c>
      <c r="U7" s="14">
        <v>45674</v>
      </c>
      <c r="V7" s="14">
        <v>46039</v>
      </c>
      <c r="W7" s="59">
        <v>8649</v>
      </c>
    </row>
    <row r="8" spans="1:23" x14ac:dyDescent="0.35">
      <c r="B8" t="s">
        <v>433</v>
      </c>
      <c r="C8" t="s">
        <v>13</v>
      </c>
      <c r="D8" t="s">
        <v>444</v>
      </c>
      <c r="E8" s="62"/>
      <c r="F8" s="4">
        <v>45674</v>
      </c>
      <c r="G8">
        <v>10075802915</v>
      </c>
      <c r="H8" s="2">
        <f t="shared" si="0"/>
        <v>10075802915</v>
      </c>
      <c r="I8" t="s">
        <v>435</v>
      </c>
      <c r="J8" t="s">
        <v>436</v>
      </c>
      <c r="K8" s="58" t="s">
        <v>439</v>
      </c>
      <c r="L8" s="57" t="s">
        <v>81</v>
      </c>
      <c r="M8" s="6" t="s">
        <v>371</v>
      </c>
      <c r="N8" s="3" t="s">
        <v>425</v>
      </c>
      <c r="O8" t="s">
        <v>423</v>
      </c>
      <c r="P8" s="7" t="s">
        <v>438</v>
      </c>
      <c r="Q8" t="s">
        <v>115</v>
      </c>
      <c r="R8" s="4">
        <v>45855</v>
      </c>
      <c r="S8" s="4">
        <v>45855</v>
      </c>
      <c r="T8" s="4">
        <v>45886</v>
      </c>
      <c r="U8" s="14">
        <v>45674</v>
      </c>
      <c r="V8" s="14">
        <v>46039</v>
      </c>
      <c r="W8" s="59">
        <v>8649</v>
      </c>
    </row>
    <row r="9" spans="1:23" x14ac:dyDescent="0.35">
      <c r="B9" t="s">
        <v>433</v>
      </c>
      <c r="C9" t="s">
        <v>13</v>
      </c>
      <c r="D9" t="s">
        <v>444</v>
      </c>
      <c r="E9" s="62"/>
      <c r="F9" s="4">
        <v>45674</v>
      </c>
      <c r="G9">
        <v>10076900110</v>
      </c>
      <c r="H9" s="2">
        <f t="shared" si="0"/>
        <v>10076900110</v>
      </c>
      <c r="I9" t="s">
        <v>435</v>
      </c>
      <c r="J9" t="s">
        <v>436</v>
      </c>
      <c r="K9" s="58" t="s">
        <v>439</v>
      </c>
      <c r="L9" s="57" t="s">
        <v>81</v>
      </c>
      <c r="M9" s="6" t="s">
        <v>371</v>
      </c>
      <c r="N9" s="3" t="s">
        <v>425</v>
      </c>
      <c r="O9" t="s">
        <v>423</v>
      </c>
      <c r="P9" s="7" t="s">
        <v>438</v>
      </c>
      <c r="Q9" t="s">
        <v>115</v>
      </c>
      <c r="R9" s="4">
        <v>45876</v>
      </c>
      <c r="S9" s="4">
        <v>45886</v>
      </c>
      <c r="T9" s="4">
        <v>45917</v>
      </c>
      <c r="U9" s="14">
        <v>45674</v>
      </c>
      <c r="V9" s="14">
        <v>46039</v>
      </c>
      <c r="W9" s="59">
        <v>8649</v>
      </c>
    </row>
    <row r="10" spans="1:23" x14ac:dyDescent="0.35">
      <c r="B10" t="s">
        <v>433</v>
      </c>
      <c r="C10" t="s">
        <v>13</v>
      </c>
      <c r="D10" t="s">
        <v>444</v>
      </c>
      <c r="E10" s="62"/>
      <c r="F10" s="4">
        <v>45674</v>
      </c>
      <c r="G10">
        <v>10078158797</v>
      </c>
      <c r="H10" s="2">
        <f t="shared" si="0"/>
        <v>10078158797</v>
      </c>
      <c r="I10" t="s">
        <v>435</v>
      </c>
      <c r="J10" t="s">
        <v>436</v>
      </c>
      <c r="K10" s="58" t="s">
        <v>439</v>
      </c>
      <c r="L10" s="57" t="s">
        <v>81</v>
      </c>
      <c r="M10" s="6" t="s">
        <v>371</v>
      </c>
      <c r="N10" s="3" t="s">
        <v>425</v>
      </c>
      <c r="O10" t="s">
        <v>423</v>
      </c>
      <c r="P10" s="7" t="s">
        <v>438</v>
      </c>
      <c r="Q10" t="s">
        <v>115</v>
      </c>
      <c r="R10" s="4">
        <v>45909</v>
      </c>
      <c r="S10" s="4">
        <v>45917</v>
      </c>
      <c r="T10" s="4">
        <v>45947</v>
      </c>
      <c r="U10" s="14">
        <v>45674</v>
      </c>
      <c r="V10" s="14">
        <v>46039</v>
      </c>
      <c r="W10" s="59">
        <v>8649</v>
      </c>
    </row>
    <row r="11" spans="1:23" x14ac:dyDescent="0.35">
      <c r="B11" t="s">
        <v>433</v>
      </c>
      <c r="C11" t="s">
        <v>13</v>
      </c>
      <c r="D11" t="s">
        <v>444</v>
      </c>
      <c r="E11" s="62"/>
      <c r="F11" s="4">
        <v>45674</v>
      </c>
      <c r="G11">
        <v>10079351799</v>
      </c>
      <c r="H11" s="2">
        <f t="shared" si="0"/>
        <v>10079351799</v>
      </c>
      <c r="I11" t="s">
        <v>435</v>
      </c>
      <c r="J11" t="s">
        <v>436</v>
      </c>
      <c r="K11" s="58" t="s">
        <v>439</v>
      </c>
      <c r="L11" s="57" t="s">
        <v>81</v>
      </c>
      <c r="M11" s="6" t="s">
        <v>371</v>
      </c>
      <c r="N11" s="3" t="s">
        <v>425</v>
      </c>
      <c r="O11" t="s">
        <v>423</v>
      </c>
      <c r="P11" s="7" t="s">
        <v>438</v>
      </c>
      <c r="Q11" t="s">
        <v>115</v>
      </c>
      <c r="R11" s="4">
        <v>45939</v>
      </c>
      <c r="S11" s="4">
        <v>45947</v>
      </c>
      <c r="T11" s="4">
        <v>45978</v>
      </c>
      <c r="U11" s="14">
        <v>45674</v>
      </c>
      <c r="V11" s="14">
        <v>46039</v>
      </c>
      <c r="W11" s="59">
        <v>8649</v>
      </c>
    </row>
    <row r="12" spans="1:23" x14ac:dyDescent="0.35">
      <c r="B12" t="s">
        <v>433</v>
      </c>
      <c r="C12" t="s">
        <v>13</v>
      </c>
      <c r="D12" t="s">
        <v>444</v>
      </c>
      <c r="E12" s="62"/>
      <c r="F12" s="4">
        <v>45674</v>
      </c>
      <c r="G12">
        <v>10080704181</v>
      </c>
      <c r="H12" s="2">
        <f t="shared" si="0"/>
        <v>10080704181</v>
      </c>
      <c r="I12" t="s">
        <v>435</v>
      </c>
      <c r="J12" t="s">
        <v>436</v>
      </c>
      <c r="K12" s="58" t="s">
        <v>439</v>
      </c>
      <c r="L12" s="57" t="s">
        <v>81</v>
      </c>
      <c r="M12" s="6" t="s">
        <v>371</v>
      </c>
      <c r="N12" s="3" t="s">
        <v>425</v>
      </c>
      <c r="O12" t="s">
        <v>423</v>
      </c>
      <c r="P12" s="7" t="s">
        <v>438</v>
      </c>
      <c r="Q12" t="s">
        <v>115</v>
      </c>
      <c r="R12" s="4">
        <v>45968</v>
      </c>
      <c r="S12" s="4">
        <v>45978</v>
      </c>
      <c r="T12" s="4">
        <v>46008</v>
      </c>
      <c r="U12" s="14">
        <v>45674</v>
      </c>
      <c r="V12" s="14">
        <v>46039</v>
      </c>
      <c r="W12" s="59">
        <v>8649</v>
      </c>
    </row>
    <row r="13" spans="1:23" x14ac:dyDescent="0.35">
      <c r="B13" t="s">
        <v>433</v>
      </c>
      <c r="C13" t="s">
        <v>13</v>
      </c>
      <c r="D13" t="s">
        <v>444</v>
      </c>
      <c r="E13" s="62"/>
      <c r="F13" s="4">
        <v>45674</v>
      </c>
      <c r="G13">
        <v>10078158797</v>
      </c>
      <c r="H13" s="2">
        <f t="shared" si="0"/>
        <v>10078158797</v>
      </c>
      <c r="I13" t="s">
        <v>435</v>
      </c>
      <c r="J13" t="s">
        <v>436</v>
      </c>
      <c r="K13" s="58" t="s">
        <v>439</v>
      </c>
      <c r="L13" s="57" t="s">
        <v>81</v>
      </c>
      <c r="M13" s="6" t="s">
        <v>371</v>
      </c>
      <c r="N13" s="3" t="s">
        <v>425</v>
      </c>
      <c r="O13" t="s">
        <v>423</v>
      </c>
      <c r="P13" s="7" t="s">
        <v>443</v>
      </c>
      <c r="Q13" t="s">
        <v>115</v>
      </c>
      <c r="R13" s="4">
        <v>46012</v>
      </c>
      <c r="S13" s="4">
        <v>45917</v>
      </c>
      <c r="T13" s="4">
        <v>45947</v>
      </c>
      <c r="U13" s="14">
        <v>45674</v>
      </c>
      <c r="V13" s="14">
        <v>46039</v>
      </c>
      <c r="W13" s="59">
        <v>-8649</v>
      </c>
    </row>
    <row r="14" spans="1:23" x14ac:dyDescent="0.35">
      <c r="B14" t="s">
        <v>433</v>
      </c>
      <c r="C14" t="s">
        <v>13</v>
      </c>
      <c r="D14" t="s">
        <v>444</v>
      </c>
      <c r="E14" s="62"/>
      <c r="F14" s="4">
        <v>45674</v>
      </c>
      <c r="G14">
        <v>10079351799</v>
      </c>
      <c r="H14" s="2">
        <f t="shared" si="0"/>
        <v>10079351799</v>
      </c>
      <c r="I14" t="s">
        <v>435</v>
      </c>
      <c r="J14" t="s">
        <v>436</v>
      </c>
      <c r="K14" s="58" t="s">
        <v>439</v>
      </c>
      <c r="L14" s="57" t="s">
        <v>81</v>
      </c>
      <c r="M14" s="6" t="s">
        <v>371</v>
      </c>
      <c r="N14" s="3" t="s">
        <v>425</v>
      </c>
      <c r="O14" t="s">
        <v>423</v>
      </c>
      <c r="P14" s="7" t="s">
        <v>443</v>
      </c>
      <c r="Q14" t="s">
        <v>115</v>
      </c>
      <c r="R14" s="4">
        <v>46012</v>
      </c>
      <c r="S14" s="4">
        <v>45947</v>
      </c>
      <c r="T14" s="4">
        <v>45978</v>
      </c>
      <c r="U14" s="14">
        <v>45674</v>
      </c>
      <c r="V14" s="14">
        <v>46039</v>
      </c>
      <c r="W14" s="59">
        <v>-8649</v>
      </c>
    </row>
    <row r="15" spans="1:23" x14ac:dyDescent="0.35">
      <c r="B15" t="s">
        <v>433</v>
      </c>
      <c r="C15" t="s">
        <v>13</v>
      </c>
      <c r="D15" t="s">
        <v>444</v>
      </c>
      <c r="E15" s="62"/>
      <c r="F15" s="4">
        <v>45674</v>
      </c>
      <c r="G15">
        <v>10080704181</v>
      </c>
      <c r="H15" s="2">
        <f t="shared" si="0"/>
        <v>10080704181</v>
      </c>
      <c r="I15" t="s">
        <v>435</v>
      </c>
      <c r="J15" t="s">
        <v>436</v>
      </c>
      <c r="K15" s="58" t="s">
        <v>439</v>
      </c>
      <c r="L15" s="57" t="s">
        <v>81</v>
      </c>
      <c r="M15" s="6" t="s">
        <v>371</v>
      </c>
      <c r="N15" s="3" t="s">
        <v>425</v>
      </c>
      <c r="O15" t="s">
        <v>423</v>
      </c>
      <c r="P15" s="7" t="s">
        <v>443</v>
      </c>
      <c r="Q15" t="s">
        <v>115</v>
      </c>
      <c r="R15" s="4">
        <v>46012</v>
      </c>
      <c r="S15" s="4">
        <v>45978</v>
      </c>
      <c r="T15" s="4">
        <v>46008</v>
      </c>
      <c r="U15" s="14">
        <v>45674</v>
      </c>
      <c r="V15" s="14">
        <v>46039</v>
      </c>
      <c r="W15" s="59">
        <v>-8649</v>
      </c>
    </row>
    <row r="16" spans="1:23" x14ac:dyDescent="0.35">
      <c r="B16" t="s">
        <v>433</v>
      </c>
      <c r="C16" t="s">
        <v>13</v>
      </c>
      <c r="D16" t="s">
        <v>444</v>
      </c>
      <c r="E16" s="62"/>
      <c r="F16" s="4">
        <v>45674</v>
      </c>
      <c r="G16">
        <v>10082172308</v>
      </c>
      <c r="H16" s="2">
        <f t="shared" si="0"/>
        <v>10082172308</v>
      </c>
      <c r="I16" t="s">
        <v>435</v>
      </c>
      <c r="J16" t="s">
        <v>436</v>
      </c>
      <c r="K16" s="58" t="s">
        <v>439</v>
      </c>
      <c r="L16" s="57" t="s">
        <v>81</v>
      </c>
      <c r="M16" s="6" t="s">
        <v>371</v>
      </c>
      <c r="N16" s="3" t="s">
        <v>425</v>
      </c>
      <c r="O16" t="s">
        <v>423</v>
      </c>
      <c r="P16" s="7" t="s">
        <v>438</v>
      </c>
      <c r="Q16" t="s">
        <v>115</v>
      </c>
      <c r="R16" s="4">
        <v>46012</v>
      </c>
      <c r="S16" s="4">
        <v>46008</v>
      </c>
      <c r="T16" s="4">
        <v>46039</v>
      </c>
      <c r="U16" s="14">
        <v>45674</v>
      </c>
      <c r="V16" s="14">
        <v>46039</v>
      </c>
      <c r="W16" s="59">
        <v>8649</v>
      </c>
    </row>
    <row r="17" spans="2:23" x14ac:dyDescent="0.35">
      <c r="B17" t="s">
        <v>433</v>
      </c>
      <c r="C17" t="s">
        <v>13</v>
      </c>
      <c r="D17" t="s">
        <v>444</v>
      </c>
      <c r="E17" s="63"/>
      <c r="F17" s="21">
        <v>45674</v>
      </c>
      <c r="G17">
        <v>10082172308</v>
      </c>
      <c r="H17" s="2">
        <f t="shared" si="0"/>
        <v>10082172308</v>
      </c>
      <c r="I17" t="s">
        <v>435</v>
      </c>
      <c r="J17" t="s">
        <v>436</v>
      </c>
      <c r="K17" s="58" t="s">
        <v>439</v>
      </c>
      <c r="L17" s="57" t="s">
        <v>81</v>
      </c>
      <c r="M17" s="6" t="s">
        <v>371</v>
      </c>
      <c r="N17" s="3" t="s">
        <v>425</v>
      </c>
      <c r="O17" t="s">
        <v>423</v>
      </c>
      <c r="P17" s="7" t="s">
        <v>443</v>
      </c>
      <c r="Q17" t="s">
        <v>115</v>
      </c>
      <c r="R17" s="21">
        <v>46012</v>
      </c>
      <c r="S17" s="21">
        <v>46008</v>
      </c>
      <c r="T17" s="21">
        <v>46039</v>
      </c>
      <c r="U17" s="14">
        <v>45674</v>
      </c>
      <c r="V17" s="14">
        <v>46039</v>
      </c>
      <c r="W17" s="59">
        <v>-8649</v>
      </c>
    </row>
    <row r="18" spans="2:23" x14ac:dyDescent="0.35">
      <c r="B18" t="s">
        <v>433</v>
      </c>
      <c r="C18" t="s">
        <v>13</v>
      </c>
      <c r="D18" t="s">
        <v>442</v>
      </c>
      <c r="E18" s="4">
        <v>45799</v>
      </c>
      <c r="F18" s="4">
        <v>45793</v>
      </c>
      <c r="G18" s="2">
        <v>240564190</v>
      </c>
      <c r="H18" s="2">
        <f t="shared" si="0"/>
        <v>240564190</v>
      </c>
      <c r="I18" t="s">
        <v>435</v>
      </c>
      <c r="J18" t="s">
        <v>436</v>
      </c>
      <c r="K18" s="58" t="s">
        <v>439</v>
      </c>
      <c r="L18" s="57" t="s">
        <v>81</v>
      </c>
      <c r="M18" s="6" t="s">
        <v>371</v>
      </c>
      <c r="N18" s="3" t="s">
        <v>425</v>
      </c>
      <c r="O18" t="s">
        <v>423</v>
      </c>
      <c r="P18" s="7" t="s">
        <v>438</v>
      </c>
      <c r="Q18" t="s">
        <v>115</v>
      </c>
      <c r="R18" s="4">
        <v>45793</v>
      </c>
      <c r="S18" s="4">
        <v>45793</v>
      </c>
      <c r="T18" s="4">
        <v>45824</v>
      </c>
      <c r="U18" s="14">
        <v>45793</v>
      </c>
      <c r="V18" s="14">
        <v>46158</v>
      </c>
      <c r="W18" s="59">
        <v>8649</v>
      </c>
    </row>
    <row r="19" spans="2:23" x14ac:dyDescent="0.35">
      <c r="B19" t="s">
        <v>433</v>
      </c>
      <c r="C19" t="s">
        <v>13</v>
      </c>
      <c r="D19" t="s">
        <v>442</v>
      </c>
      <c r="E19" s="4">
        <v>45799</v>
      </c>
      <c r="F19" s="4">
        <v>45793</v>
      </c>
      <c r="G19">
        <v>10074557764</v>
      </c>
      <c r="H19" s="2">
        <f t="shared" si="0"/>
        <v>10074557764</v>
      </c>
      <c r="I19" t="s">
        <v>435</v>
      </c>
      <c r="J19" t="s">
        <v>436</v>
      </c>
      <c r="K19" s="58" t="s">
        <v>439</v>
      </c>
      <c r="L19" s="57" t="s">
        <v>81</v>
      </c>
      <c r="M19" s="6" t="s">
        <v>371</v>
      </c>
      <c r="N19" s="3" t="s">
        <v>425</v>
      </c>
      <c r="O19" t="s">
        <v>423</v>
      </c>
      <c r="P19" s="7" t="s">
        <v>438</v>
      </c>
      <c r="Q19" t="s">
        <v>115</v>
      </c>
      <c r="R19" s="4">
        <v>45822</v>
      </c>
      <c r="S19" s="4">
        <v>45824</v>
      </c>
      <c r="T19" s="4">
        <v>45854</v>
      </c>
      <c r="U19" s="14">
        <v>45793</v>
      </c>
      <c r="V19" s="14">
        <v>46158</v>
      </c>
      <c r="W19" s="59">
        <v>8649</v>
      </c>
    </row>
    <row r="20" spans="2:23" x14ac:dyDescent="0.35">
      <c r="B20" t="s">
        <v>433</v>
      </c>
      <c r="C20" t="s">
        <v>13</v>
      </c>
      <c r="D20" t="s">
        <v>442</v>
      </c>
      <c r="E20" s="21">
        <v>45799</v>
      </c>
      <c r="F20" s="21">
        <v>45793</v>
      </c>
      <c r="G20">
        <v>10075800761</v>
      </c>
      <c r="H20" s="2">
        <f t="shared" si="0"/>
        <v>10075800761</v>
      </c>
      <c r="I20" t="s">
        <v>435</v>
      </c>
      <c r="J20" t="s">
        <v>436</v>
      </c>
      <c r="K20" s="58" t="s">
        <v>439</v>
      </c>
      <c r="L20" s="57" t="s">
        <v>81</v>
      </c>
      <c r="M20" s="6" t="s">
        <v>371</v>
      </c>
      <c r="N20" s="3" t="s">
        <v>425</v>
      </c>
      <c r="O20" t="s">
        <v>423</v>
      </c>
      <c r="P20" s="7" t="s">
        <v>438</v>
      </c>
      <c r="Q20" t="s">
        <v>115</v>
      </c>
      <c r="R20" s="21">
        <v>45855</v>
      </c>
      <c r="S20" s="21">
        <v>45854</v>
      </c>
      <c r="T20" s="21">
        <v>45885</v>
      </c>
      <c r="U20" s="14">
        <v>45793</v>
      </c>
      <c r="V20" s="14">
        <v>46158</v>
      </c>
      <c r="W20" s="59">
        <v>8649</v>
      </c>
    </row>
    <row r="21" spans="2:23" x14ac:dyDescent="0.35">
      <c r="B21" t="s">
        <v>433</v>
      </c>
      <c r="C21" t="s">
        <v>13</v>
      </c>
      <c r="D21" t="s">
        <v>442</v>
      </c>
      <c r="E21" s="4">
        <v>45799</v>
      </c>
      <c r="F21" s="4">
        <v>45793</v>
      </c>
      <c r="G21">
        <v>10076864615</v>
      </c>
      <c r="H21" s="2">
        <f t="shared" si="0"/>
        <v>10076864615</v>
      </c>
      <c r="I21" t="s">
        <v>435</v>
      </c>
      <c r="J21" t="s">
        <v>436</v>
      </c>
      <c r="K21" s="58" t="s">
        <v>439</v>
      </c>
      <c r="L21" s="57" t="s">
        <v>81</v>
      </c>
      <c r="M21" s="6" t="s">
        <v>371</v>
      </c>
      <c r="N21" s="3" t="s">
        <v>425</v>
      </c>
      <c r="O21" t="s">
        <v>423</v>
      </c>
      <c r="P21" s="7" t="s">
        <v>438</v>
      </c>
      <c r="Q21" t="s">
        <v>115</v>
      </c>
      <c r="R21" s="4">
        <v>45876</v>
      </c>
      <c r="S21" s="4">
        <v>45885</v>
      </c>
      <c r="T21" s="4">
        <v>45916</v>
      </c>
      <c r="U21" s="14">
        <v>45793</v>
      </c>
      <c r="V21" s="14">
        <v>46158</v>
      </c>
      <c r="W21" s="59">
        <v>8649</v>
      </c>
    </row>
    <row r="22" spans="2:23" x14ac:dyDescent="0.35">
      <c r="B22" t="s">
        <v>433</v>
      </c>
      <c r="C22" t="s">
        <v>13</v>
      </c>
      <c r="D22" t="s">
        <v>442</v>
      </c>
      <c r="E22" s="4">
        <v>45799</v>
      </c>
      <c r="F22" s="4">
        <v>45793</v>
      </c>
      <c r="G22">
        <v>10074557764</v>
      </c>
      <c r="H22" s="2">
        <f t="shared" si="0"/>
        <v>10074557764</v>
      </c>
      <c r="I22" t="s">
        <v>435</v>
      </c>
      <c r="J22" t="s">
        <v>436</v>
      </c>
      <c r="K22" s="58" t="s">
        <v>439</v>
      </c>
      <c r="L22" s="57" t="s">
        <v>81</v>
      </c>
      <c r="M22" s="6" t="s">
        <v>371</v>
      </c>
      <c r="N22" s="3" t="s">
        <v>425</v>
      </c>
      <c r="O22" t="s">
        <v>423</v>
      </c>
      <c r="P22" s="7" t="s">
        <v>443</v>
      </c>
      <c r="Q22" t="s">
        <v>115</v>
      </c>
      <c r="R22" s="4">
        <v>45907</v>
      </c>
      <c r="S22" s="4">
        <v>45824</v>
      </c>
      <c r="T22" s="4">
        <v>45854</v>
      </c>
      <c r="U22" s="14">
        <v>45793</v>
      </c>
      <c r="V22" s="14">
        <v>46158</v>
      </c>
      <c r="W22" s="59">
        <v>-8649</v>
      </c>
    </row>
    <row r="23" spans="2:23" x14ac:dyDescent="0.35">
      <c r="B23" t="s">
        <v>433</v>
      </c>
      <c r="C23" t="s">
        <v>13</v>
      </c>
      <c r="D23" t="s">
        <v>442</v>
      </c>
      <c r="E23" s="4">
        <v>45799</v>
      </c>
      <c r="F23" s="4">
        <v>45793</v>
      </c>
      <c r="G23">
        <v>10075800761</v>
      </c>
      <c r="H23" s="2">
        <f t="shared" si="0"/>
        <v>10075800761</v>
      </c>
      <c r="I23" t="s">
        <v>435</v>
      </c>
      <c r="J23" t="s">
        <v>436</v>
      </c>
      <c r="K23" s="58" t="s">
        <v>439</v>
      </c>
      <c r="L23" s="57" t="s">
        <v>81</v>
      </c>
      <c r="M23" s="6" t="s">
        <v>371</v>
      </c>
      <c r="N23" s="3" t="s">
        <v>425</v>
      </c>
      <c r="O23" t="s">
        <v>423</v>
      </c>
      <c r="P23" s="7" t="s">
        <v>443</v>
      </c>
      <c r="Q23" t="s">
        <v>115</v>
      </c>
      <c r="R23" s="4">
        <v>45907</v>
      </c>
      <c r="S23" s="4">
        <v>45854</v>
      </c>
      <c r="T23" s="4">
        <v>45885</v>
      </c>
      <c r="U23" s="14">
        <v>45793</v>
      </c>
      <c r="V23" s="14">
        <v>46158</v>
      </c>
      <c r="W23" s="59">
        <v>-8649</v>
      </c>
    </row>
    <row r="24" spans="2:23" x14ac:dyDescent="0.35">
      <c r="B24" t="s">
        <v>433</v>
      </c>
      <c r="C24" t="s">
        <v>13</v>
      </c>
      <c r="D24" t="s">
        <v>442</v>
      </c>
      <c r="E24" s="4">
        <v>45799</v>
      </c>
      <c r="F24" s="4">
        <v>45793</v>
      </c>
      <c r="G24">
        <v>10076864615</v>
      </c>
      <c r="H24" s="2">
        <f t="shared" si="0"/>
        <v>10076864615</v>
      </c>
      <c r="I24" t="s">
        <v>435</v>
      </c>
      <c r="J24" t="s">
        <v>436</v>
      </c>
      <c r="K24" s="58" t="s">
        <v>439</v>
      </c>
      <c r="L24" s="57" t="s">
        <v>81</v>
      </c>
      <c r="M24" s="6" t="s">
        <v>371</v>
      </c>
      <c r="N24" s="3" t="s">
        <v>425</v>
      </c>
      <c r="O24" t="s">
        <v>423</v>
      </c>
      <c r="P24" s="7" t="s">
        <v>443</v>
      </c>
      <c r="Q24" t="s">
        <v>115</v>
      </c>
      <c r="R24" s="4">
        <v>45907</v>
      </c>
      <c r="S24" s="4">
        <v>45885</v>
      </c>
      <c r="T24" s="4">
        <v>45916</v>
      </c>
      <c r="U24" s="14">
        <v>45793</v>
      </c>
      <c r="V24" s="14">
        <v>46158</v>
      </c>
      <c r="W24" s="59">
        <v>-8649</v>
      </c>
    </row>
    <row r="25" spans="2:23" x14ac:dyDescent="0.35">
      <c r="B25" t="s">
        <v>433</v>
      </c>
      <c r="C25" t="s">
        <v>13</v>
      </c>
      <c r="D25" t="s">
        <v>442</v>
      </c>
      <c r="E25" s="4">
        <v>45799</v>
      </c>
      <c r="F25" s="4">
        <v>45793</v>
      </c>
      <c r="G25">
        <v>241258146</v>
      </c>
      <c r="H25" s="2">
        <f t="shared" si="0"/>
        <v>241258146</v>
      </c>
      <c r="I25" t="s">
        <v>435</v>
      </c>
      <c r="J25" t="s">
        <v>436</v>
      </c>
      <c r="K25" s="58" t="s">
        <v>439</v>
      </c>
      <c r="L25" s="57" t="s">
        <v>81</v>
      </c>
      <c r="M25" s="6" t="s">
        <v>371</v>
      </c>
      <c r="N25" s="3" t="s">
        <v>425</v>
      </c>
      <c r="O25" t="s">
        <v>423</v>
      </c>
      <c r="P25" s="7" t="s">
        <v>438</v>
      </c>
      <c r="Q25" t="s">
        <v>115</v>
      </c>
      <c r="R25" s="4">
        <v>45966</v>
      </c>
      <c r="S25" s="4">
        <v>45824</v>
      </c>
      <c r="T25" s="4">
        <v>45854</v>
      </c>
      <c r="U25" s="14">
        <v>45793</v>
      </c>
      <c r="V25" s="14">
        <v>46158</v>
      </c>
      <c r="W25" s="59">
        <v>8649</v>
      </c>
    </row>
    <row r="26" spans="2:23" x14ac:dyDescent="0.35">
      <c r="B26" t="s">
        <v>433</v>
      </c>
      <c r="C26" t="s">
        <v>13</v>
      </c>
      <c r="D26" t="s">
        <v>442</v>
      </c>
      <c r="E26" s="4">
        <v>45799</v>
      </c>
      <c r="F26" s="4">
        <v>45793</v>
      </c>
      <c r="G26">
        <v>241258147</v>
      </c>
      <c r="H26" s="2">
        <f t="shared" si="0"/>
        <v>241258147</v>
      </c>
      <c r="I26" t="s">
        <v>435</v>
      </c>
      <c r="J26" t="s">
        <v>436</v>
      </c>
      <c r="K26" s="58" t="s">
        <v>439</v>
      </c>
      <c r="L26" s="57" t="s">
        <v>81</v>
      </c>
      <c r="M26" s="6" t="s">
        <v>371</v>
      </c>
      <c r="N26" s="3" t="s">
        <v>425</v>
      </c>
      <c r="O26" t="s">
        <v>423</v>
      </c>
      <c r="P26" s="7" t="s">
        <v>438</v>
      </c>
      <c r="Q26" t="s">
        <v>115</v>
      </c>
      <c r="R26" s="4">
        <v>45966</v>
      </c>
      <c r="S26" s="4">
        <v>45854</v>
      </c>
      <c r="T26" s="4">
        <v>45885</v>
      </c>
      <c r="U26" s="14">
        <v>45793</v>
      </c>
      <c r="V26" s="14">
        <v>46158</v>
      </c>
      <c r="W26" s="59">
        <v>8649</v>
      </c>
    </row>
    <row r="27" spans="2:23" x14ac:dyDescent="0.35">
      <c r="B27" t="s">
        <v>433</v>
      </c>
      <c r="C27" t="s">
        <v>13</v>
      </c>
      <c r="D27" t="s">
        <v>442</v>
      </c>
      <c r="E27" s="4">
        <v>45799</v>
      </c>
      <c r="F27" s="4">
        <v>45793</v>
      </c>
      <c r="G27">
        <v>241258148</v>
      </c>
      <c r="H27" s="2">
        <f t="shared" si="0"/>
        <v>241258148</v>
      </c>
      <c r="I27" t="s">
        <v>435</v>
      </c>
      <c r="J27" t="s">
        <v>436</v>
      </c>
      <c r="K27" s="58" t="s">
        <v>439</v>
      </c>
      <c r="L27" s="57" t="s">
        <v>81</v>
      </c>
      <c r="M27" s="6" t="s">
        <v>371</v>
      </c>
      <c r="N27" s="3" t="s">
        <v>425</v>
      </c>
      <c r="O27" t="s">
        <v>423</v>
      </c>
      <c r="P27" s="7" t="s">
        <v>438</v>
      </c>
      <c r="Q27" t="s">
        <v>115</v>
      </c>
      <c r="R27" s="4">
        <v>45966</v>
      </c>
      <c r="S27" s="4">
        <v>45885</v>
      </c>
      <c r="T27" s="4">
        <v>45916</v>
      </c>
      <c r="U27" s="14">
        <v>45793</v>
      </c>
      <c r="V27" s="14">
        <v>46158</v>
      </c>
      <c r="W27" s="59">
        <v>8649</v>
      </c>
    </row>
    <row r="28" spans="2:23" x14ac:dyDescent="0.35">
      <c r="B28" t="s">
        <v>433</v>
      </c>
      <c r="C28" t="s">
        <v>13</v>
      </c>
      <c r="D28" t="s">
        <v>442</v>
      </c>
      <c r="E28" s="4">
        <v>45799</v>
      </c>
      <c r="F28" s="4">
        <v>45793</v>
      </c>
      <c r="G28">
        <v>241258150</v>
      </c>
      <c r="H28" s="2">
        <f t="shared" si="0"/>
        <v>241258150</v>
      </c>
      <c r="I28" t="s">
        <v>435</v>
      </c>
      <c r="J28" t="s">
        <v>436</v>
      </c>
      <c r="K28" s="58" t="s">
        <v>439</v>
      </c>
      <c r="L28" s="57" t="s">
        <v>81</v>
      </c>
      <c r="M28" s="6" t="s">
        <v>371</v>
      </c>
      <c r="N28" s="3" t="s">
        <v>425</v>
      </c>
      <c r="O28" t="s">
        <v>423</v>
      </c>
      <c r="P28" s="7" t="s">
        <v>438</v>
      </c>
      <c r="Q28" t="s">
        <v>115</v>
      </c>
      <c r="R28" s="4">
        <v>45966</v>
      </c>
      <c r="S28" s="4">
        <v>45916</v>
      </c>
      <c r="T28" s="4">
        <v>45946</v>
      </c>
      <c r="U28" s="14">
        <v>45793</v>
      </c>
      <c r="V28" s="14">
        <v>46158</v>
      </c>
      <c r="W28" s="59">
        <v>8649</v>
      </c>
    </row>
    <row r="29" spans="2:23" x14ac:dyDescent="0.35">
      <c r="B29" t="s">
        <v>433</v>
      </c>
      <c r="C29" t="s">
        <v>13</v>
      </c>
      <c r="D29" t="s">
        <v>442</v>
      </c>
      <c r="E29" s="4">
        <v>45799</v>
      </c>
      <c r="F29" s="4">
        <v>45793</v>
      </c>
      <c r="G29">
        <v>241258152</v>
      </c>
      <c r="H29" s="2">
        <f t="shared" si="0"/>
        <v>241258152</v>
      </c>
      <c r="I29" t="s">
        <v>435</v>
      </c>
      <c r="J29" t="s">
        <v>436</v>
      </c>
      <c r="K29" s="58" t="s">
        <v>439</v>
      </c>
      <c r="L29" s="57" t="s">
        <v>81</v>
      </c>
      <c r="M29" s="6" t="s">
        <v>371</v>
      </c>
      <c r="N29" s="3" t="s">
        <v>425</v>
      </c>
      <c r="O29" t="s">
        <v>423</v>
      </c>
      <c r="P29" s="7" t="s">
        <v>438</v>
      </c>
      <c r="Q29" t="s">
        <v>115</v>
      </c>
      <c r="R29" s="4">
        <v>45966</v>
      </c>
      <c r="S29" s="4">
        <v>45946</v>
      </c>
      <c r="T29" s="4">
        <v>45977</v>
      </c>
      <c r="U29" s="14">
        <v>45793</v>
      </c>
      <c r="V29" s="14">
        <v>46158</v>
      </c>
      <c r="W29" s="59">
        <v>8649</v>
      </c>
    </row>
    <row r="30" spans="2:23" x14ac:dyDescent="0.35">
      <c r="B30" t="s">
        <v>433</v>
      </c>
      <c r="C30" t="s">
        <v>13</v>
      </c>
      <c r="D30" t="s">
        <v>442</v>
      </c>
      <c r="E30" s="4">
        <v>45799</v>
      </c>
      <c r="F30" s="4">
        <v>45793</v>
      </c>
      <c r="G30">
        <v>10080658921</v>
      </c>
      <c r="H30" s="2">
        <f t="shared" si="0"/>
        <v>10080658921</v>
      </c>
      <c r="I30" t="s">
        <v>435</v>
      </c>
      <c r="J30" t="s">
        <v>436</v>
      </c>
      <c r="K30" s="58" t="s">
        <v>439</v>
      </c>
      <c r="L30" s="57" t="s">
        <v>81</v>
      </c>
      <c r="M30" s="6" t="s">
        <v>371</v>
      </c>
      <c r="N30" s="3" t="s">
        <v>425</v>
      </c>
      <c r="O30" t="s">
        <v>423</v>
      </c>
      <c r="P30" s="7" t="s">
        <v>438</v>
      </c>
      <c r="Q30" t="s">
        <v>115</v>
      </c>
      <c r="R30" s="4">
        <v>45967</v>
      </c>
      <c r="S30" s="4">
        <v>45977</v>
      </c>
      <c r="T30" s="4">
        <v>46007</v>
      </c>
      <c r="U30" s="14">
        <v>45793</v>
      </c>
      <c r="V30" s="14">
        <v>46158</v>
      </c>
      <c r="W30" s="59">
        <v>8649</v>
      </c>
    </row>
    <row r="31" spans="2:23" x14ac:dyDescent="0.35">
      <c r="B31" t="s">
        <v>433</v>
      </c>
      <c r="C31" t="s">
        <v>13</v>
      </c>
      <c r="D31" t="s">
        <v>442</v>
      </c>
      <c r="E31" s="4">
        <v>45799</v>
      </c>
      <c r="F31" s="4">
        <v>45793</v>
      </c>
      <c r="G31">
        <v>241258146</v>
      </c>
      <c r="H31" s="2">
        <f t="shared" si="0"/>
        <v>241258146</v>
      </c>
      <c r="I31" t="s">
        <v>435</v>
      </c>
      <c r="J31" t="s">
        <v>436</v>
      </c>
      <c r="K31" s="58" t="s">
        <v>439</v>
      </c>
      <c r="L31" s="57" t="s">
        <v>81</v>
      </c>
      <c r="M31" s="6" t="s">
        <v>371</v>
      </c>
      <c r="N31" s="3" t="s">
        <v>425</v>
      </c>
      <c r="O31" t="s">
        <v>423</v>
      </c>
      <c r="P31" s="7" t="s">
        <v>443</v>
      </c>
      <c r="Q31" t="s">
        <v>115</v>
      </c>
      <c r="R31" s="4">
        <v>45974</v>
      </c>
      <c r="S31" s="4">
        <v>45824</v>
      </c>
      <c r="T31" s="4">
        <v>45854</v>
      </c>
      <c r="U31" s="14">
        <v>45793</v>
      </c>
      <c r="V31" s="14">
        <v>46158</v>
      </c>
      <c r="W31" s="59">
        <v>-8649</v>
      </c>
    </row>
    <row r="32" spans="2:23" x14ac:dyDescent="0.35">
      <c r="B32" t="s">
        <v>433</v>
      </c>
      <c r="C32" t="s">
        <v>13</v>
      </c>
      <c r="D32" t="s">
        <v>442</v>
      </c>
      <c r="E32" s="4">
        <v>45799</v>
      </c>
      <c r="F32" s="4">
        <v>45793</v>
      </c>
      <c r="G32">
        <v>241258147</v>
      </c>
      <c r="H32" s="2">
        <f t="shared" si="0"/>
        <v>241258147</v>
      </c>
      <c r="I32" t="s">
        <v>435</v>
      </c>
      <c r="J32" t="s">
        <v>436</v>
      </c>
      <c r="K32" s="58" t="s">
        <v>439</v>
      </c>
      <c r="L32" s="57" t="s">
        <v>81</v>
      </c>
      <c r="M32" s="6" t="s">
        <v>371</v>
      </c>
      <c r="N32" s="3" t="s">
        <v>425</v>
      </c>
      <c r="O32" t="s">
        <v>423</v>
      </c>
      <c r="P32" s="7" t="s">
        <v>443</v>
      </c>
      <c r="Q32" t="s">
        <v>115</v>
      </c>
      <c r="R32" s="4">
        <v>45974</v>
      </c>
      <c r="S32" s="4">
        <v>45854</v>
      </c>
      <c r="T32" s="4">
        <v>45885</v>
      </c>
      <c r="U32" s="14">
        <v>45793</v>
      </c>
      <c r="V32" s="14">
        <v>46158</v>
      </c>
      <c r="W32" s="59">
        <v>-8649</v>
      </c>
    </row>
    <row r="33" spans="2:23" x14ac:dyDescent="0.35">
      <c r="B33" t="s">
        <v>433</v>
      </c>
      <c r="C33" t="s">
        <v>13</v>
      </c>
      <c r="D33" t="s">
        <v>442</v>
      </c>
      <c r="E33" s="21">
        <v>45799</v>
      </c>
      <c r="F33" s="21">
        <v>45793</v>
      </c>
      <c r="G33">
        <v>241258148</v>
      </c>
      <c r="H33" s="2">
        <f t="shared" si="0"/>
        <v>241258148</v>
      </c>
      <c r="I33" t="s">
        <v>435</v>
      </c>
      <c r="J33" t="s">
        <v>436</v>
      </c>
      <c r="K33" s="58" t="s">
        <v>439</v>
      </c>
      <c r="L33" s="57" t="s">
        <v>81</v>
      </c>
      <c r="M33" s="6" t="s">
        <v>371</v>
      </c>
      <c r="N33" s="3" t="s">
        <v>425</v>
      </c>
      <c r="O33" t="s">
        <v>423</v>
      </c>
      <c r="P33" s="7" t="s">
        <v>443</v>
      </c>
      <c r="Q33" t="s">
        <v>115</v>
      </c>
      <c r="R33" s="21">
        <v>45974</v>
      </c>
      <c r="S33" s="21">
        <v>45885</v>
      </c>
      <c r="T33" s="21">
        <v>45916</v>
      </c>
      <c r="U33" s="14">
        <v>45793</v>
      </c>
      <c r="V33" s="14">
        <v>46158</v>
      </c>
      <c r="W33" s="59">
        <v>-8649</v>
      </c>
    </row>
    <row r="34" spans="2:23" x14ac:dyDescent="0.35">
      <c r="B34" t="s">
        <v>433</v>
      </c>
      <c r="C34" t="s">
        <v>13</v>
      </c>
      <c r="D34" t="s">
        <v>442</v>
      </c>
      <c r="E34" s="4">
        <v>45799</v>
      </c>
      <c r="F34" s="4">
        <v>45793</v>
      </c>
      <c r="G34">
        <v>241258150</v>
      </c>
      <c r="H34" s="2">
        <f t="shared" si="0"/>
        <v>241258150</v>
      </c>
      <c r="I34" t="s">
        <v>435</v>
      </c>
      <c r="J34" t="s">
        <v>436</v>
      </c>
      <c r="K34" s="58" t="s">
        <v>439</v>
      </c>
      <c r="L34" s="57" t="s">
        <v>81</v>
      </c>
      <c r="M34" s="6" t="s">
        <v>371</v>
      </c>
      <c r="N34" s="3" t="s">
        <v>425</v>
      </c>
      <c r="O34" t="s">
        <v>423</v>
      </c>
      <c r="P34" s="7" t="s">
        <v>443</v>
      </c>
      <c r="Q34" t="s">
        <v>115</v>
      </c>
      <c r="R34" s="4">
        <v>45974</v>
      </c>
      <c r="S34" s="4">
        <v>45916</v>
      </c>
      <c r="T34" s="4">
        <v>45946</v>
      </c>
      <c r="U34" s="14">
        <v>45793</v>
      </c>
      <c r="V34" s="14">
        <v>46158</v>
      </c>
      <c r="W34" s="59">
        <v>-8649</v>
      </c>
    </row>
    <row r="35" spans="2:23" x14ac:dyDescent="0.35">
      <c r="B35" t="s">
        <v>433</v>
      </c>
      <c r="C35" t="s">
        <v>13</v>
      </c>
      <c r="D35" t="s">
        <v>442</v>
      </c>
      <c r="E35" s="4">
        <v>45799</v>
      </c>
      <c r="F35" s="4">
        <v>45793</v>
      </c>
      <c r="G35">
        <v>241258152</v>
      </c>
      <c r="H35" s="2">
        <f t="shared" si="0"/>
        <v>241258152</v>
      </c>
      <c r="I35" t="s">
        <v>435</v>
      </c>
      <c r="J35" t="s">
        <v>436</v>
      </c>
      <c r="K35" s="58" t="s">
        <v>439</v>
      </c>
      <c r="L35" s="57" t="s">
        <v>81</v>
      </c>
      <c r="M35" s="6" t="s">
        <v>371</v>
      </c>
      <c r="N35" s="3" t="s">
        <v>425</v>
      </c>
      <c r="O35" t="s">
        <v>423</v>
      </c>
      <c r="P35" s="7" t="s">
        <v>443</v>
      </c>
      <c r="Q35" t="s">
        <v>115</v>
      </c>
      <c r="R35" s="4">
        <v>45974</v>
      </c>
      <c r="S35" s="4">
        <v>45946</v>
      </c>
      <c r="T35" s="4">
        <v>45977</v>
      </c>
      <c r="U35" s="14">
        <v>45793</v>
      </c>
      <c r="V35" s="14">
        <v>46158</v>
      </c>
      <c r="W35" s="59">
        <v>-8649</v>
      </c>
    </row>
    <row r="36" spans="2:23" x14ac:dyDescent="0.35">
      <c r="B36" t="s">
        <v>433</v>
      </c>
      <c r="C36" t="s">
        <v>13</v>
      </c>
      <c r="D36" t="s">
        <v>442</v>
      </c>
      <c r="E36" s="4">
        <v>45799</v>
      </c>
      <c r="F36" s="4">
        <v>45793</v>
      </c>
      <c r="G36">
        <v>241286786</v>
      </c>
      <c r="H36" s="2">
        <f t="shared" si="0"/>
        <v>241286786</v>
      </c>
      <c r="I36" t="s">
        <v>435</v>
      </c>
      <c r="J36" t="s">
        <v>436</v>
      </c>
      <c r="K36" s="58" t="s">
        <v>439</v>
      </c>
      <c r="L36" s="57" t="s">
        <v>81</v>
      </c>
      <c r="M36" s="6" t="s">
        <v>371</v>
      </c>
      <c r="N36" s="3" t="s">
        <v>425</v>
      </c>
      <c r="O36" t="s">
        <v>423</v>
      </c>
      <c r="P36" s="7" t="s">
        <v>438</v>
      </c>
      <c r="Q36" t="s">
        <v>115</v>
      </c>
      <c r="R36" s="4">
        <v>45974</v>
      </c>
      <c r="S36" s="4">
        <v>45974</v>
      </c>
      <c r="T36" s="4">
        <v>46158</v>
      </c>
      <c r="U36" s="14">
        <v>45793</v>
      </c>
      <c r="V36" s="14">
        <v>46158</v>
      </c>
      <c r="W36" s="59">
        <v>51894</v>
      </c>
    </row>
    <row r="37" spans="2:23" x14ac:dyDescent="0.35">
      <c r="B37" t="s">
        <v>433</v>
      </c>
      <c r="C37" t="s">
        <v>13</v>
      </c>
      <c r="D37" t="s">
        <v>442</v>
      </c>
      <c r="E37" s="4">
        <v>45799</v>
      </c>
      <c r="F37" s="4">
        <v>45793</v>
      </c>
      <c r="G37">
        <v>10080658921</v>
      </c>
      <c r="H37" s="2">
        <f t="shared" si="0"/>
        <v>10080658921</v>
      </c>
      <c r="I37" t="s">
        <v>435</v>
      </c>
      <c r="J37" t="s">
        <v>436</v>
      </c>
      <c r="K37" s="58" t="s">
        <v>439</v>
      </c>
      <c r="L37" s="57" t="s">
        <v>81</v>
      </c>
      <c r="M37" s="6" t="s">
        <v>371</v>
      </c>
      <c r="N37" s="3" t="s">
        <v>425</v>
      </c>
      <c r="O37" t="s">
        <v>423</v>
      </c>
      <c r="P37" s="7" t="s">
        <v>443</v>
      </c>
      <c r="Q37" t="s">
        <v>115</v>
      </c>
      <c r="R37" s="4">
        <v>45974</v>
      </c>
      <c r="S37" s="4">
        <v>45977</v>
      </c>
      <c r="T37" s="4">
        <v>46007</v>
      </c>
      <c r="U37" s="14">
        <v>45793</v>
      </c>
      <c r="V37" s="14">
        <v>46158</v>
      </c>
      <c r="W37" s="59">
        <v>-8649</v>
      </c>
    </row>
    <row r="38" spans="2:23" x14ac:dyDescent="0.35">
      <c r="E38" s="4"/>
      <c r="F38" s="4"/>
      <c r="H38" s="2"/>
      <c r="K38" s="58"/>
      <c r="L38" s="57"/>
      <c r="M38" s="6"/>
      <c r="N38" s="3"/>
      <c r="R38" s="4"/>
      <c r="S38" s="4"/>
      <c r="T38" s="4"/>
      <c r="U38" s="14"/>
      <c r="V38" s="14"/>
      <c r="W38" s="59"/>
    </row>
    <row r="39" spans="2:23" x14ac:dyDescent="0.35">
      <c r="E39" s="4"/>
      <c r="F39" s="4"/>
      <c r="H39" s="2"/>
      <c r="K39" s="58"/>
      <c r="L39" s="57"/>
      <c r="M39" s="6"/>
      <c r="N39" s="3"/>
      <c r="P39" s="7"/>
      <c r="R39" s="4"/>
      <c r="S39" s="4"/>
      <c r="T39" s="4"/>
      <c r="U39" s="14"/>
      <c r="V39" s="14"/>
      <c r="W39" s="59"/>
    </row>
    <row r="40" spans="2:23" x14ac:dyDescent="0.35">
      <c r="E40" s="4"/>
      <c r="F40" s="4"/>
      <c r="H40" s="2"/>
      <c r="K40" s="58"/>
      <c r="L40" s="57"/>
      <c r="M40" s="6"/>
      <c r="N40" s="3"/>
      <c r="P40" s="7"/>
      <c r="R40" s="4"/>
      <c r="S40" s="4"/>
      <c r="T40" s="4"/>
      <c r="U40" s="14"/>
      <c r="V40" s="14"/>
      <c r="W40" s="59"/>
    </row>
    <row r="41" spans="2:23" x14ac:dyDescent="0.35">
      <c r="E41" s="4"/>
      <c r="F41" s="4"/>
      <c r="H41" s="2"/>
      <c r="K41" s="58"/>
      <c r="L41" s="57"/>
      <c r="M41" s="6"/>
      <c r="N41" s="3"/>
      <c r="P41" s="7"/>
      <c r="R41" s="4"/>
      <c r="S41" s="4"/>
      <c r="T41" s="4"/>
      <c r="U41" s="14"/>
      <c r="V41" s="14"/>
      <c r="W41" s="59"/>
    </row>
  </sheetData>
  <autoFilter ref="A1:W37" xr:uid="{C91DF4D8-2AEA-4913-93D7-B86EA85C5B3E}">
    <sortState xmlns:xlrd2="http://schemas.microsoft.com/office/spreadsheetml/2017/richdata2" ref="A2:W37">
      <sortCondition ref="D1:D37"/>
    </sortState>
  </autoFilter>
  <conditionalFormatting sqref="D2">
    <cfRule type="duplicateValues" dxfId="2" priority="2"/>
  </conditionalFormatting>
  <conditionalFormatting sqref="D1:E1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tabSelected="1" zoomScale="125" zoomScaleNormal="109" workbookViewId="0">
      <selection activeCell="D7" sqref="D7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2.1796875" bestFit="1" customWidth="1"/>
    <col min="9" max="9" width="12.1796875" style="14" customWidth="1"/>
    <col min="10" max="10" width="18.81640625" style="24" customWidth="1"/>
    <col min="11" max="11" width="21.36328125" style="24" bestFit="1" customWidth="1"/>
    <col min="12" max="13" width="24.81640625" style="1" bestFit="1" customWidth="1"/>
    <col min="14" max="14" width="12.453125" style="1" bestFit="1" customWidth="1"/>
    <col min="15" max="15" width="12.453125" style="1" customWidth="1"/>
    <col min="16" max="16" width="17.453125" style="1" bestFit="1" customWidth="1"/>
    <col min="17" max="17" width="11.1796875" style="1" bestFit="1" customWidth="1"/>
    <col min="18" max="18" width="11.453125" style="3" bestFit="1" customWidth="1"/>
    <col min="19" max="19" width="11.453125" bestFit="1" customWidth="1"/>
    <col min="20" max="20" width="10.81640625" bestFit="1" customWidth="1"/>
    <col min="21" max="21" width="19.1796875" bestFit="1" customWidth="1"/>
    <col min="22" max="22" width="10" bestFit="1" customWidth="1"/>
    <col min="23" max="23" width="14.453125" customWidth="1"/>
    <col min="24" max="24" width="29.453125" bestFit="1" customWidth="1"/>
    <col min="25" max="25" width="26.453125" bestFit="1" customWidth="1"/>
    <col min="26" max="26" width="32.453125" bestFit="1" customWidth="1"/>
    <col min="27" max="27" width="30" bestFit="1" customWidth="1"/>
    <col min="28" max="28" width="8.1796875" bestFit="1" customWidth="1"/>
    <col min="29" max="29" width="16.453125" bestFit="1" customWidth="1"/>
    <col min="30" max="30" width="11.453125" style="13"/>
  </cols>
  <sheetData>
    <row r="1" spans="1:30" s="5" customFormat="1" x14ac:dyDescent="0.35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 x14ac:dyDescent="0.35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 x14ac:dyDescent="0.35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 x14ac:dyDescent="0.35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 x14ac:dyDescent="0.35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 x14ac:dyDescent="0.35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 x14ac:dyDescent="0.35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 x14ac:dyDescent="0.35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 x14ac:dyDescent="0.35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 x14ac:dyDescent="0.35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 x14ac:dyDescent="0.35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7.453125" style="1" bestFit="1" customWidth="1"/>
    <col min="9" max="9" width="14.453125" style="1" customWidth="1"/>
    <col min="10" max="10" width="11.1796875" style="1" bestFit="1" customWidth="1"/>
    <col min="11" max="11" width="11.453125" style="3" bestFit="1" customWidth="1"/>
    <col min="12" max="12" width="10.1796875" bestFit="1" customWidth="1"/>
    <col min="13" max="13" width="12.453125" style="1" bestFit="1" customWidth="1"/>
    <col min="14" max="14" width="17.453125" style="1" bestFit="1" customWidth="1"/>
    <col min="15" max="15" width="11.453125" bestFit="1" customWidth="1"/>
    <col min="16" max="16" width="10.81640625" bestFit="1" customWidth="1"/>
    <col min="17" max="17" width="10" bestFit="1" customWidth="1"/>
    <col min="18" max="18" width="14.453125" customWidth="1"/>
    <col min="19" max="19" width="29.453125" bestFit="1" customWidth="1"/>
    <col min="20" max="20" width="26.453125" bestFit="1" customWidth="1"/>
    <col min="21" max="21" width="29.453125" bestFit="1" customWidth="1"/>
    <col min="22" max="22" width="26.453125" bestFit="1" customWidth="1"/>
  </cols>
  <sheetData>
    <row r="1" spans="1:24" s="5" customFormat="1" x14ac:dyDescent="0.35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35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35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35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35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35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35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35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35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53125" defaultRowHeight="14.5" x14ac:dyDescent="0.35"/>
  <cols>
    <col min="1" max="1" width="22.81640625" bestFit="1" customWidth="1"/>
    <col min="2" max="2" width="11.36328125" bestFit="1" customWidth="1"/>
    <col min="10" max="10" width="16" style="14" bestFit="1" customWidth="1"/>
    <col min="11" max="11" width="16" bestFit="1" customWidth="1"/>
    <col min="12" max="13" width="18.816406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1640625" style="13" customWidth="1"/>
    <col min="20" max="20" width="17.453125" style="17" bestFit="1" customWidth="1"/>
    <col min="21" max="21" width="17.453125" style="17" customWidth="1"/>
  </cols>
  <sheetData>
    <row r="1" spans="1:21" s="5" customFormat="1" x14ac:dyDescent="0.35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35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35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35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35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35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1640625" defaultRowHeight="14.5" x14ac:dyDescent="0.35"/>
  <cols>
    <col min="1" max="1" width="16.453125" style="10" bestFit="1" customWidth="1"/>
    <col min="2" max="2" width="10.81640625" style="10" bestFit="1" customWidth="1"/>
    <col min="3" max="3" width="26.453125" style="10" bestFit="1" customWidth="1"/>
    <col min="4" max="4" width="26.81640625" style="10" bestFit="1" customWidth="1"/>
    <col min="5" max="5" width="26.1796875" style="35" bestFit="1" customWidth="1"/>
    <col min="6" max="6" width="26.1796875" style="35" customWidth="1"/>
    <col min="7" max="7" width="27.453125" style="10" bestFit="1" customWidth="1"/>
    <col min="8" max="8" width="27.453125" style="10" customWidth="1"/>
    <col min="9" max="16384" width="10.81640625" style="10"/>
  </cols>
  <sheetData>
    <row r="1" spans="1:12" x14ac:dyDescent="0.35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35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35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35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35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35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35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35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35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35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35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35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35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35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35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35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35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35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35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35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35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35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35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35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35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35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35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35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35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35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35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35">
      <c r="B32" s="34"/>
      <c r="C32" s="35"/>
    </row>
    <row r="33" spans="2:3" x14ac:dyDescent="0.35">
      <c r="B33" s="34"/>
      <c r="C33" s="35"/>
    </row>
    <row r="34" spans="2:3" x14ac:dyDescent="0.35">
      <c r="B34" s="34"/>
      <c r="C34" s="35"/>
    </row>
    <row r="35" spans="2:3" x14ac:dyDescent="0.35">
      <c r="B35" s="34"/>
      <c r="C35" s="35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453125" defaultRowHeight="14.5" x14ac:dyDescent="0.35"/>
  <cols>
    <col min="1" max="1" width="39.453125" bestFit="1" customWidth="1"/>
    <col min="2" max="3" width="10.36328125" bestFit="1" customWidth="1"/>
    <col min="4" max="4" width="21.453125" bestFit="1" customWidth="1"/>
    <col min="5" max="5" width="14" bestFit="1" customWidth="1"/>
    <col min="6" max="6" width="10.1796875" bestFit="1" customWidth="1"/>
    <col min="7" max="8" width="14.81640625" bestFit="1" customWidth="1"/>
    <col min="9" max="9" width="8.6328125" bestFit="1" customWidth="1"/>
    <col min="10" max="10" width="9.1796875" bestFit="1" customWidth="1"/>
    <col min="11" max="11" width="10.1796875" bestFit="1" customWidth="1"/>
    <col min="12" max="12" width="7" bestFit="1" customWidth="1"/>
    <col min="13" max="13" width="7.36328125" bestFit="1" customWidth="1"/>
    <col min="14" max="14" width="17.6328125" bestFit="1" customWidth="1"/>
    <col min="15" max="15" width="23.36328125" bestFit="1" customWidth="1"/>
    <col min="16" max="16" width="20.81640625" bestFit="1" customWidth="1"/>
    <col min="17" max="17" width="19" bestFit="1" customWidth="1"/>
    <col min="18" max="18" width="19" customWidth="1"/>
    <col min="19" max="19" width="11.36328125" bestFit="1" customWidth="1"/>
    <col min="20" max="20" width="17.1796875" bestFit="1" customWidth="1"/>
    <col min="21" max="21" width="17.453125" bestFit="1" customWidth="1"/>
    <col min="22" max="22" width="13.1796875" bestFit="1" customWidth="1"/>
    <col min="23" max="23" width="13.6328125" bestFit="1" customWidth="1"/>
  </cols>
  <sheetData>
    <row r="1" spans="1:25" x14ac:dyDescent="0.35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35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 x14ac:dyDescent="0.35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 x14ac:dyDescent="0.35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 x14ac:dyDescent="0.35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53125" defaultRowHeight="14.5" x14ac:dyDescent="0.35"/>
  <cols>
    <col min="1" max="1" width="29.6328125" bestFit="1" customWidth="1"/>
    <col min="2" max="2" width="20.6328125" bestFit="1" customWidth="1"/>
    <col min="3" max="3" width="11.36328125" bestFit="1" customWidth="1"/>
    <col min="4" max="4" width="23.1796875" bestFit="1" customWidth="1"/>
    <col min="5" max="5" width="8.6328125" bestFit="1" customWidth="1"/>
    <col min="6" max="6" width="9.1796875" bestFit="1" customWidth="1"/>
    <col min="7" max="7" width="8.36328125" bestFit="1" customWidth="1"/>
    <col min="8" max="8" width="5.6328125" bestFit="1" customWidth="1"/>
    <col min="9" max="9" width="16.453125" bestFit="1" customWidth="1"/>
    <col min="10" max="10" width="25.453125" bestFit="1" customWidth="1"/>
    <col min="11" max="11" width="24.81640625" bestFit="1" customWidth="1"/>
    <col min="12" max="12" width="14.36328125" bestFit="1" customWidth="1"/>
    <col min="13" max="13" width="15.36328125" bestFit="1" customWidth="1"/>
    <col min="14" max="14" width="27.1796875" bestFit="1" customWidth="1"/>
    <col min="15" max="15" width="7.453125" bestFit="1" customWidth="1"/>
    <col min="16" max="16" width="16.36328125" bestFit="1" customWidth="1"/>
  </cols>
  <sheetData>
    <row r="1" spans="1:16" x14ac:dyDescent="0.35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 x14ac:dyDescent="0.35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 x14ac:dyDescent="0.35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 x14ac:dyDescent="0.35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1640625" defaultRowHeight="15.5" x14ac:dyDescent="0.35"/>
  <cols>
    <col min="1" max="1" width="20.81640625" style="48" bestFit="1" customWidth="1"/>
    <col min="2" max="2" width="19.1796875" style="28" customWidth="1"/>
    <col min="3" max="3" width="23.453125" style="48" bestFit="1" customWidth="1"/>
    <col min="4" max="4" width="31.453125" style="28" customWidth="1"/>
    <col min="5" max="5" width="15.81640625" style="28" customWidth="1"/>
    <col min="6" max="6" width="12.453125" style="28" bestFit="1" customWidth="1"/>
    <col min="7" max="7" width="51.453125" style="28" customWidth="1"/>
    <col min="8" max="8" width="10.453125" style="28" bestFit="1" customWidth="1"/>
    <col min="9" max="16384" width="10.81640625" style="28"/>
  </cols>
  <sheetData>
    <row r="1" spans="1:9" s="26" customFormat="1" x14ac:dyDescent="0.35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35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35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35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35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35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35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35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35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35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35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35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35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35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35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35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35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35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35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35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35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35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35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35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35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35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35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35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35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35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35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35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35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35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35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35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35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35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35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35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35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35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35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35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35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35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35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35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35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35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35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35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35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35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35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35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35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35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35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35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35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35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35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35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35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35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35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35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35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35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35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35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35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35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35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35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35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35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35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35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35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35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35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35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35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35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35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35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35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35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35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35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35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35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35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35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35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35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35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35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35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35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35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35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35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35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35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35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35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35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35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35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35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35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35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35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35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35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35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35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35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35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35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35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35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35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35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35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35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35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35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35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35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35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35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35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35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35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35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35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35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35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35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35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35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35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35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35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35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35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35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35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35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35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35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35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35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35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35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35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35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35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35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35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35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35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35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35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35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35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35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35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35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35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35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35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35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35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35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35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35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35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35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35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35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35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35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35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35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35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35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35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35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35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35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35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35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35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35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35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35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35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35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35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35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35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35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35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35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35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35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35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35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35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35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35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35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35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35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35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35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35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35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35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35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35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35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35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35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35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35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35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35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35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35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35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35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35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35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35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35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35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35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35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35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35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35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35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35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35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35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35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35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35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35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35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35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35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35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35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35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53125" defaultRowHeight="14.5" x14ac:dyDescent="0.35"/>
  <cols>
    <col min="2" max="2" width="13.81640625" customWidth="1"/>
    <col min="3" max="3" width="24.453125" customWidth="1"/>
  </cols>
  <sheetData>
    <row r="1" spans="1:3" x14ac:dyDescent="0.35">
      <c r="A1" s="42" t="s">
        <v>337</v>
      </c>
      <c r="B1" s="42" t="s">
        <v>338</v>
      </c>
      <c r="C1" s="42" t="s">
        <v>339</v>
      </c>
    </row>
    <row r="2" spans="1:3" x14ac:dyDescent="0.35">
      <c r="A2" s="43">
        <v>181</v>
      </c>
      <c r="B2" s="43" t="s">
        <v>340</v>
      </c>
      <c r="C2" s="43" t="s">
        <v>341</v>
      </c>
    </row>
    <row r="3" spans="1:3" x14ac:dyDescent="0.35">
      <c r="A3" s="43">
        <v>183</v>
      </c>
      <c r="B3" s="43" t="s">
        <v>340</v>
      </c>
      <c r="C3" s="43" t="s">
        <v>341</v>
      </c>
    </row>
    <row r="4" spans="1:3" x14ac:dyDescent="0.35">
      <c r="A4" s="43">
        <v>193</v>
      </c>
      <c r="B4" s="43" t="s">
        <v>340</v>
      </c>
      <c r="C4" s="43" t="s">
        <v>341</v>
      </c>
    </row>
    <row r="5" spans="1:3" x14ac:dyDescent="0.35">
      <c r="A5" s="43">
        <v>196</v>
      </c>
      <c r="B5" s="43" t="s">
        <v>340</v>
      </c>
      <c r="C5" s="43" t="s">
        <v>341</v>
      </c>
    </row>
    <row r="6" spans="1:3" x14ac:dyDescent="0.35">
      <c r="A6" s="43" t="s">
        <v>342</v>
      </c>
      <c r="B6" s="43" t="s">
        <v>343</v>
      </c>
      <c r="C6" s="43" t="s">
        <v>344</v>
      </c>
    </row>
    <row r="7" spans="1:3" x14ac:dyDescent="0.35">
      <c r="A7" s="43" t="s">
        <v>345</v>
      </c>
      <c r="B7" s="43" t="s">
        <v>343</v>
      </c>
      <c r="C7" s="43" t="s">
        <v>344</v>
      </c>
    </row>
    <row r="8" spans="1:3" x14ac:dyDescent="0.35">
      <c r="A8" s="43" t="s">
        <v>346</v>
      </c>
      <c r="B8" s="43" t="s">
        <v>343</v>
      </c>
      <c r="C8" s="43" t="s">
        <v>344</v>
      </c>
    </row>
    <row r="9" spans="1:3" x14ac:dyDescent="0.35">
      <c r="A9" s="43" t="s">
        <v>99</v>
      </c>
      <c r="B9" s="43" t="s">
        <v>343</v>
      </c>
      <c r="C9" s="43" t="s">
        <v>344</v>
      </c>
    </row>
    <row r="10" spans="1:3" x14ac:dyDescent="0.35">
      <c r="A10" s="43" t="s">
        <v>347</v>
      </c>
      <c r="B10" s="43" t="s">
        <v>343</v>
      </c>
      <c r="C10" s="43" t="s">
        <v>344</v>
      </c>
    </row>
    <row r="11" spans="1:3" x14ac:dyDescent="0.35">
      <c r="A11" s="43" t="s">
        <v>348</v>
      </c>
      <c r="B11" s="43" t="s">
        <v>343</v>
      </c>
      <c r="C11" s="43" t="s">
        <v>344</v>
      </c>
    </row>
    <row r="12" spans="1:3" x14ac:dyDescent="0.35">
      <c r="A12" s="43" t="s">
        <v>349</v>
      </c>
      <c r="B12" s="43" t="s">
        <v>343</v>
      </c>
      <c r="C12" s="43" t="s">
        <v>344</v>
      </c>
    </row>
    <row r="13" spans="1:3" x14ac:dyDescent="0.35">
      <c r="A13" s="43" t="s">
        <v>350</v>
      </c>
      <c r="B13" s="43" t="s">
        <v>343</v>
      </c>
      <c r="C13" s="43" t="s">
        <v>344</v>
      </c>
    </row>
    <row r="14" spans="1:3" x14ac:dyDescent="0.35">
      <c r="A14" s="43" t="s">
        <v>351</v>
      </c>
      <c r="B14" s="43" t="s">
        <v>343</v>
      </c>
      <c r="C14" s="43" t="s">
        <v>344</v>
      </c>
    </row>
    <row r="15" spans="1:3" x14ac:dyDescent="0.35">
      <c r="A15" s="43" t="s">
        <v>352</v>
      </c>
      <c r="B15" s="43" t="s">
        <v>343</v>
      </c>
      <c r="C15" s="43" t="s">
        <v>344</v>
      </c>
    </row>
    <row r="16" spans="1:3" x14ac:dyDescent="0.35">
      <c r="A16" s="43" t="s">
        <v>353</v>
      </c>
      <c r="B16" s="43" t="s">
        <v>343</v>
      </c>
      <c r="C16" s="43" t="s">
        <v>344</v>
      </c>
    </row>
    <row r="17" spans="1:3" x14ac:dyDescent="0.35">
      <c r="A17" s="43" t="s">
        <v>354</v>
      </c>
      <c r="B17" s="43" t="s">
        <v>343</v>
      </c>
      <c r="C17" s="43" t="s">
        <v>344</v>
      </c>
    </row>
    <row r="18" spans="1:3" x14ac:dyDescent="0.35">
      <c r="A18" s="43" t="s">
        <v>355</v>
      </c>
      <c r="B18" s="43" t="s">
        <v>343</v>
      </c>
      <c r="C18" s="43" t="s">
        <v>344</v>
      </c>
    </row>
    <row r="19" spans="1:3" x14ac:dyDescent="0.35">
      <c r="A19" s="43" t="s">
        <v>356</v>
      </c>
      <c r="B19" s="43" t="s">
        <v>343</v>
      </c>
      <c r="C19" s="43" t="s">
        <v>344</v>
      </c>
    </row>
    <row r="20" spans="1:3" x14ac:dyDescent="0.35">
      <c r="A20" s="43" t="s">
        <v>357</v>
      </c>
      <c r="B20" s="43" t="s">
        <v>343</v>
      </c>
      <c r="C20" s="43" t="s">
        <v>344</v>
      </c>
    </row>
    <row r="21" spans="1:3" x14ac:dyDescent="0.35">
      <c r="A21" s="43" t="s">
        <v>358</v>
      </c>
      <c r="B21" s="43" t="s">
        <v>343</v>
      </c>
      <c r="C21" s="43" t="s">
        <v>344</v>
      </c>
    </row>
    <row r="22" spans="1:3" x14ac:dyDescent="0.35">
      <c r="A22" s="43" t="s">
        <v>182</v>
      </c>
      <c r="B22" s="43" t="s">
        <v>343</v>
      </c>
      <c r="C22" s="43" t="s">
        <v>344</v>
      </c>
    </row>
    <row r="23" spans="1:3" x14ac:dyDescent="0.35">
      <c r="A23" s="43" t="s">
        <v>359</v>
      </c>
      <c r="B23" s="43" t="s">
        <v>343</v>
      </c>
      <c r="C23" s="43" t="s">
        <v>344</v>
      </c>
    </row>
    <row r="24" spans="1:3" x14ac:dyDescent="0.35">
      <c r="A24" s="43" t="s">
        <v>360</v>
      </c>
      <c r="B24" s="43" t="s">
        <v>343</v>
      </c>
      <c r="C24" s="43" t="s">
        <v>344</v>
      </c>
    </row>
    <row r="25" spans="1:3" x14ac:dyDescent="0.35">
      <c r="A25" s="43" t="s">
        <v>361</v>
      </c>
      <c r="B25" s="43" t="s">
        <v>343</v>
      </c>
      <c r="C25" s="43" t="s">
        <v>344</v>
      </c>
    </row>
    <row r="26" spans="1:3" x14ac:dyDescent="0.35">
      <c r="A26" s="43" t="s">
        <v>362</v>
      </c>
      <c r="B26" s="43" t="s">
        <v>343</v>
      </c>
      <c r="C26" s="43" t="s">
        <v>344</v>
      </c>
    </row>
    <row r="27" spans="1:3" x14ac:dyDescent="0.35">
      <c r="A27" s="43" t="s">
        <v>363</v>
      </c>
      <c r="B27" s="43" t="s">
        <v>343</v>
      </c>
      <c r="C27" s="43" t="s">
        <v>344</v>
      </c>
    </row>
    <row r="28" spans="1:3" x14ac:dyDescent="0.35">
      <c r="A28" s="43" t="s">
        <v>364</v>
      </c>
      <c r="B28" s="43" t="s">
        <v>343</v>
      </c>
      <c r="C28" s="43" t="s">
        <v>344</v>
      </c>
    </row>
    <row r="29" spans="1:3" x14ac:dyDescent="0.35">
      <c r="A29" s="43" t="s">
        <v>79</v>
      </c>
      <c r="B29" s="43" t="s">
        <v>343</v>
      </c>
      <c r="C29" s="43" t="s">
        <v>344</v>
      </c>
    </row>
    <row r="30" spans="1:3" x14ac:dyDescent="0.35">
      <c r="A30" s="43" t="s">
        <v>97</v>
      </c>
      <c r="B30" s="43" t="s">
        <v>365</v>
      </c>
      <c r="C30" s="43" t="s">
        <v>366</v>
      </c>
    </row>
    <row r="31" spans="1:3" x14ac:dyDescent="0.35">
      <c r="A31" s="43" t="s">
        <v>367</v>
      </c>
      <c r="B31" s="43" t="s">
        <v>343</v>
      </c>
      <c r="C31" s="43" t="s">
        <v>344</v>
      </c>
    </row>
    <row r="32" spans="1:3" x14ac:dyDescent="0.35">
      <c r="A32" s="43" t="s">
        <v>368</v>
      </c>
      <c r="B32" s="43" t="s">
        <v>340</v>
      </c>
      <c r="C32" s="43" t="s">
        <v>341</v>
      </c>
    </row>
    <row r="33" spans="1:3" x14ac:dyDescent="0.35">
      <c r="A33" s="43" t="s">
        <v>369</v>
      </c>
      <c r="B33" s="43" t="s">
        <v>340</v>
      </c>
      <c r="C33" s="43" t="s">
        <v>341</v>
      </c>
    </row>
    <row r="34" spans="1:3" x14ac:dyDescent="0.35">
      <c r="A34" s="43" t="s">
        <v>370</v>
      </c>
      <c r="B34" s="43" t="s">
        <v>340</v>
      </c>
      <c r="C34" s="43" t="s">
        <v>341</v>
      </c>
    </row>
    <row r="35" spans="1:3" x14ac:dyDescent="0.35">
      <c r="A35" s="43" t="s">
        <v>371</v>
      </c>
      <c r="B35" s="43" t="s">
        <v>340</v>
      </c>
      <c r="C35" s="43" t="s">
        <v>341</v>
      </c>
    </row>
    <row r="36" spans="1:3" x14ac:dyDescent="0.35">
      <c r="A36" s="43" t="s">
        <v>372</v>
      </c>
      <c r="B36" s="43" t="s">
        <v>340</v>
      </c>
      <c r="C36" s="43" t="s">
        <v>341</v>
      </c>
    </row>
    <row r="37" spans="1:3" x14ac:dyDescent="0.35">
      <c r="A37" s="43" t="s">
        <v>95</v>
      </c>
      <c r="B37" s="43" t="s">
        <v>340</v>
      </c>
      <c r="C37" s="43" t="s">
        <v>341</v>
      </c>
    </row>
    <row r="38" spans="1:3" x14ac:dyDescent="0.35">
      <c r="A38" s="43" t="s">
        <v>373</v>
      </c>
      <c r="B38" s="43" t="s">
        <v>340</v>
      </c>
      <c r="C38" s="43" t="s">
        <v>341</v>
      </c>
    </row>
    <row r="39" spans="1:3" x14ac:dyDescent="0.35">
      <c r="A39" s="45" t="s">
        <v>374</v>
      </c>
      <c r="B39" s="43" t="s">
        <v>340</v>
      </c>
      <c r="C39" s="43" t="s">
        <v>341</v>
      </c>
    </row>
    <row r="40" spans="1:3" x14ac:dyDescent="0.35">
      <c r="A40" s="43" t="s">
        <v>375</v>
      </c>
      <c r="B40" s="43" t="s">
        <v>340</v>
      </c>
      <c r="C40" s="43" t="s">
        <v>341</v>
      </c>
    </row>
    <row r="41" spans="1:3" x14ac:dyDescent="0.35">
      <c r="A41" s="43" t="s">
        <v>102</v>
      </c>
      <c r="B41" s="43" t="s">
        <v>340</v>
      </c>
      <c r="C41" s="43" t="s">
        <v>341</v>
      </c>
    </row>
    <row r="42" spans="1:3" x14ac:dyDescent="0.35">
      <c r="A42" s="43" t="s">
        <v>376</v>
      </c>
      <c r="B42" s="43" t="s">
        <v>340</v>
      </c>
      <c r="C42" s="43" t="s">
        <v>341</v>
      </c>
    </row>
    <row r="43" spans="1:3" x14ac:dyDescent="0.35">
      <c r="A43" s="43" t="s">
        <v>180</v>
      </c>
      <c r="B43" s="43" t="s">
        <v>340</v>
      </c>
      <c r="C43" s="43" t="s">
        <v>341</v>
      </c>
    </row>
    <row r="44" spans="1:3" x14ac:dyDescent="0.35">
      <c r="A44" s="43" t="s">
        <v>98</v>
      </c>
      <c r="B44" s="43" t="s">
        <v>340</v>
      </c>
      <c r="C44" s="43" t="s">
        <v>341</v>
      </c>
    </row>
    <row r="45" spans="1:3" x14ac:dyDescent="0.35">
      <c r="A45" s="44" t="s">
        <v>377</v>
      </c>
      <c r="B45" s="43" t="s">
        <v>378</v>
      </c>
      <c r="C45" s="43" t="s">
        <v>379</v>
      </c>
    </row>
    <row r="46" spans="1:3" x14ac:dyDescent="0.35">
      <c r="A46" s="43" t="s">
        <v>380</v>
      </c>
      <c r="B46" s="43" t="s">
        <v>340</v>
      </c>
      <c r="C46" s="43" t="s">
        <v>341</v>
      </c>
    </row>
    <row r="47" spans="1:3" x14ac:dyDescent="0.35">
      <c r="A47" s="43" t="s">
        <v>381</v>
      </c>
      <c r="B47" s="43" t="s">
        <v>382</v>
      </c>
      <c r="C47" s="43" t="s">
        <v>383</v>
      </c>
    </row>
    <row r="48" spans="1:3" x14ac:dyDescent="0.35">
      <c r="A48" s="43" t="s">
        <v>160</v>
      </c>
      <c r="B48" s="43" t="s">
        <v>340</v>
      </c>
      <c r="C48" s="43" t="s">
        <v>341</v>
      </c>
    </row>
    <row r="49" spans="1:3" x14ac:dyDescent="0.35">
      <c r="A49" s="43" t="s">
        <v>384</v>
      </c>
      <c r="B49" s="43" t="s">
        <v>340</v>
      </c>
      <c r="C49" s="43" t="s">
        <v>341</v>
      </c>
    </row>
    <row r="50" spans="1:3" x14ac:dyDescent="0.35">
      <c r="A50" s="46" t="s">
        <v>385</v>
      </c>
      <c r="B50" s="46" t="s">
        <v>340</v>
      </c>
      <c r="C50" s="43" t="s">
        <v>341</v>
      </c>
    </row>
    <row r="51" spans="1:3" x14ac:dyDescent="0.35">
      <c r="A51" s="43" t="s">
        <v>386</v>
      </c>
      <c r="B51" s="43" t="s">
        <v>387</v>
      </c>
      <c r="C51" s="43" t="s">
        <v>388</v>
      </c>
    </row>
    <row r="52" spans="1:3" x14ac:dyDescent="0.35">
      <c r="A52" s="43" t="s">
        <v>389</v>
      </c>
      <c r="B52" s="43" t="s">
        <v>387</v>
      </c>
      <c r="C52" s="43" t="s">
        <v>388</v>
      </c>
    </row>
    <row r="53" spans="1:3" x14ac:dyDescent="0.35">
      <c r="A53" s="43" t="s">
        <v>101</v>
      </c>
      <c r="B53" s="43" t="s">
        <v>387</v>
      </c>
      <c r="C53" s="43" t="s">
        <v>388</v>
      </c>
    </row>
    <row r="54" spans="1:3" x14ac:dyDescent="0.35">
      <c r="A54" s="43" t="s">
        <v>390</v>
      </c>
      <c r="B54" s="43" t="s">
        <v>387</v>
      </c>
      <c r="C54" s="43" t="s">
        <v>388</v>
      </c>
    </row>
    <row r="55" spans="1:3" x14ac:dyDescent="0.35">
      <c r="A55" s="43" t="s">
        <v>391</v>
      </c>
      <c r="B55" s="43" t="s">
        <v>387</v>
      </c>
      <c r="C55" s="43" t="s">
        <v>388</v>
      </c>
    </row>
    <row r="56" spans="1:3" x14ac:dyDescent="0.35">
      <c r="A56" s="43" t="s">
        <v>392</v>
      </c>
      <c r="B56" s="43" t="s">
        <v>387</v>
      </c>
      <c r="C56" s="43" t="s">
        <v>388</v>
      </c>
    </row>
    <row r="57" spans="1:3" x14ac:dyDescent="0.35">
      <c r="A57" s="43" t="s">
        <v>393</v>
      </c>
      <c r="B57" s="43" t="s">
        <v>387</v>
      </c>
      <c r="C57" s="43" t="s">
        <v>388</v>
      </c>
    </row>
    <row r="58" spans="1:3" x14ac:dyDescent="0.35">
      <c r="A58" s="43" t="s">
        <v>394</v>
      </c>
      <c r="B58" s="43" t="s">
        <v>340</v>
      </c>
      <c r="C58" s="43" t="s">
        <v>341</v>
      </c>
    </row>
    <row r="59" spans="1:3" x14ac:dyDescent="0.35">
      <c r="A59" s="43" t="s">
        <v>395</v>
      </c>
      <c r="B59" s="43" t="s">
        <v>340</v>
      </c>
      <c r="C59" s="43" t="s">
        <v>341</v>
      </c>
    </row>
    <row r="60" spans="1:3" x14ac:dyDescent="0.35">
      <c r="A60" s="43" t="s">
        <v>396</v>
      </c>
      <c r="B60" s="43" t="s">
        <v>340</v>
      </c>
      <c r="C60" s="43" t="s">
        <v>341</v>
      </c>
    </row>
    <row r="61" spans="1:3" x14ac:dyDescent="0.35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53125" defaultRowHeight="14.5" x14ac:dyDescent="0.35"/>
  <cols>
    <col min="1" max="1" width="25.453125" bestFit="1" customWidth="1"/>
    <col min="3" max="3" width="17" bestFit="1" customWidth="1"/>
    <col min="4" max="4" width="17" customWidth="1"/>
    <col min="9" max="9" width="20.36328125" bestFit="1" customWidth="1"/>
  </cols>
  <sheetData>
    <row r="1" spans="1:11" s="5" customFormat="1" x14ac:dyDescent="0.35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35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35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35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35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35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35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53125" defaultRowHeight="14.5" x14ac:dyDescent="0.35"/>
  <cols>
    <col min="1" max="1" width="23.453125" bestFit="1" customWidth="1"/>
    <col min="2" max="2" width="10.453125" bestFit="1" customWidth="1"/>
    <col min="3" max="3" width="16.453125" bestFit="1" customWidth="1"/>
    <col min="4" max="4" width="14.453125" bestFit="1" customWidth="1"/>
    <col min="5" max="5" width="23.81640625" bestFit="1" customWidth="1"/>
    <col min="6" max="6" width="11.453125" bestFit="1" customWidth="1"/>
    <col min="7" max="7" width="22.453125" bestFit="1" customWidth="1"/>
    <col min="8" max="8" width="18" bestFit="1" customWidth="1"/>
    <col min="9" max="9" width="11.1796875" customWidth="1"/>
    <col min="10" max="10" width="8.453125" bestFit="1" customWidth="1"/>
    <col min="11" max="11" width="9.1796875" bestFit="1" customWidth="1"/>
    <col min="12" max="12" width="8.453125" bestFit="1" customWidth="1"/>
    <col min="13" max="13" width="7.453125" bestFit="1" customWidth="1"/>
    <col min="14" max="14" width="7.81640625" bestFit="1" customWidth="1"/>
  </cols>
  <sheetData>
    <row r="1" spans="1:14" s="5" customFormat="1" x14ac:dyDescent="0.35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 x14ac:dyDescent="0.35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35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35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param_contabilidad</vt:lpstr>
      <vt:lpstr>excepciones_50_50</vt:lpstr>
      <vt:lpstr>gastos</vt:lpstr>
      <vt:lpstr>tasa_cambio</vt:lpstr>
      <vt:lpstr>porc_descuento</vt:lpstr>
      <vt:lpstr>produccion_directo</vt:lpstr>
      <vt:lpstr>componente_inversion_directo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Samuel Andres Areiza Tabares</cp:lastModifiedBy>
  <cp:revision/>
  <dcterms:created xsi:type="dcterms:W3CDTF">2015-06-05T18:19:34Z</dcterms:created>
  <dcterms:modified xsi:type="dcterms:W3CDTF">2026-02-04T19:29:29Z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